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klinek/Desktop/Redwood/Data/leaf_temp/"/>
    </mc:Choice>
  </mc:AlternateContent>
  <xr:revisionPtr revIDLastSave="0" documentId="13_ncr:1_{B54E3E21-3257-6E4B-9757-45F5543791C0}" xr6:coauthVersionLast="47" xr6:coauthVersionMax="47" xr10:uidLastSave="{00000000-0000-0000-0000-000000000000}"/>
  <bookViews>
    <workbookView xWindow="20900" yWindow="2660" windowWidth="27320" windowHeight="15940" xr2:uid="{00000000-000D-0000-FFFF-FFFF00000000}"/>
  </bookViews>
  <sheets>
    <sheet name="Measurements" sheetId="1" r:id="rId1"/>
    <sheet name="Remar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Q60" i="1" l="1"/>
  <c r="DP60" i="1"/>
  <c r="DN60" i="1"/>
  <c r="DO60" i="1" s="1"/>
  <c r="BP60" i="1" s="1"/>
  <c r="CC60" i="1"/>
  <c r="CB60" i="1"/>
  <c r="BT60" i="1"/>
  <c r="BN60" i="1"/>
  <c r="BR60" i="1" s="1"/>
  <c r="BH60" i="1"/>
  <c r="BU60" i="1" s="1"/>
  <c r="BX60" i="1" s="1"/>
  <c r="BC60" i="1"/>
  <c r="BA60" i="1"/>
  <c r="BB60" i="1" s="1"/>
  <c r="AT60" i="1"/>
  <c r="AO60" i="1"/>
  <c r="AN60" i="1"/>
  <c r="AM60" i="1"/>
  <c r="AG60" i="1"/>
  <c r="AF60" i="1"/>
  <c r="AE60" i="1"/>
  <c r="AA60" i="1"/>
  <c r="X60" i="1"/>
  <c r="V60" i="1"/>
  <c r="S60" i="1"/>
  <c r="R60" i="1"/>
  <c r="BQ60" i="1" s="1"/>
  <c r="BS60" i="1" s="1"/>
  <c r="Q60" i="1"/>
  <c r="P60" i="1"/>
  <c r="DQ59" i="1"/>
  <c r="DP59" i="1"/>
  <c r="DN59" i="1"/>
  <c r="DO59" i="1" s="1"/>
  <c r="BP59" i="1" s="1"/>
  <c r="CC59" i="1"/>
  <c r="CB59" i="1"/>
  <c r="BT59" i="1"/>
  <c r="BN59" i="1"/>
  <c r="BR59" i="1" s="1"/>
  <c r="BH59" i="1"/>
  <c r="BU59" i="1" s="1"/>
  <c r="BX59" i="1" s="1"/>
  <c r="BC59" i="1"/>
  <c r="BA59" i="1"/>
  <c r="BB59" i="1" s="1"/>
  <c r="AT59" i="1"/>
  <c r="AO59" i="1"/>
  <c r="AN59" i="1"/>
  <c r="AM59" i="1"/>
  <c r="AG59" i="1"/>
  <c r="AF59" i="1"/>
  <c r="AE59" i="1" s="1"/>
  <c r="AA59" i="1"/>
  <c r="X59" i="1"/>
  <c r="V59" i="1"/>
  <c r="S59" i="1"/>
  <c r="R59" i="1"/>
  <c r="BQ59" i="1" s="1"/>
  <c r="BS59" i="1" s="1"/>
  <c r="Q59" i="1"/>
  <c r="P59" i="1"/>
  <c r="DQ58" i="1"/>
  <c r="DP58" i="1"/>
  <c r="DN58" i="1"/>
  <c r="DO58" i="1" s="1"/>
  <c r="BP58" i="1" s="1"/>
  <c r="CC58" i="1"/>
  <c r="CB58" i="1"/>
  <c r="BT58" i="1"/>
  <c r="BN58" i="1"/>
  <c r="BR58" i="1" s="1"/>
  <c r="BH58" i="1"/>
  <c r="BU58" i="1" s="1"/>
  <c r="BX58" i="1" s="1"/>
  <c r="BC58" i="1"/>
  <c r="BA58" i="1" s="1"/>
  <c r="AT58" i="1"/>
  <c r="AO58" i="1"/>
  <c r="AG58" i="1"/>
  <c r="AF58" i="1"/>
  <c r="AE58" i="1" s="1"/>
  <c r="AA58" i="1"/>
  <c r="X58" i="1"/>
  <c r="R58" i="1"/>
  <c r="BQ58" i="1" s="1"/>
  <c r="BS58" i="1" s="1"/>
  <c r="Q58" i="1"/>
  <c r="P58" i="1"/>
  <c r="DQ57" i="1"/>
  <c r="DP57" i="1"/>
  <c r="DN57" i="1"/>
  <c r="DO57" i="1" s="1"/>
  <c r="BP57" i="1" s="1"/>
  <c r="CC57" i="1"/>
  <c r="CB57" i="1"/>
  <c r="BT57" i="1"/>
  <c r="BN57" i="1"/>
  <c r="BR57" i="1" s="1"/>
  <c r="BH57" i="1"/>
  <c r="BU57" i="1" s="1"/>
  <c r="BX57" i="1" s="1"/>
  <c r="BC57" i="1"/>
  <c r="BA57" i="1" s="1"/>
  <c r="AT57" i="1"/>
  <c r="AO57" i="1"/>
  <c r="AG57" i="1"/>
  <c r="AF57" i="1"/>
  <c r="AE57" i="1"/>
  <c r="AA57" i="1"/>
  <c r="X57" i="1"/>
  <c r="R57" i="1"/>
  <c r="BQ57" i="1" s="1"/>
  <c r="BS57" i="1" s="1"/>
  <c r="Q57" i="1"/>
  <c r="P57" i="1"/>
  <c r="DQ56" i="1"/>
  <c r="DP56" i="1"/>
  <c r="DN56" i="1"/>
  <c r="DO56" i="1" s="1"/>
  <c r="BP56" i="1" s="1"/>
  <c r="CC56" i="1"/>
  <c r="CB56" i="1"/>
  <c r="BT56" i="1"/>
  <c r="BN56" i="1"/>
  <c r="BR56" i="1" s="1"/>
  <c r="BH56" i="1"/>
  <c r="BU56" i="1" s="1"/>
  <c r="BX56" i="1" s="1"/>
  <c r="BC56" i="1"/>
  <c r="BA56" i="1" s="1"/>
  <c r="AT56" i="1"/>
  <c r="AO56" i="1"/>
  <c r="AG56" i="1"/>
  <c r="AF56" i="1"/>
  <c r="AE56" i="1" s="1"/>
  <c r="AA56" i="1"/>
  <c r="X56" i="1"/>
  <c r="R56" i="1"/>
  <c r="BQ56" i="1" s="1"/>
  <c r="BS56" i="1" s="1"/>
  <c r="Q56" i="1"/>
  <c r="P56" i="1"/>
  <c r="DQ55" i="1"/>
  <c r="DP55" i="1"/>
  <c r="DN55" i="1"/>
  <c r="CC55" i="1"/>
  <c r="CB55" i="1"/>
  <c r="BT55" i="1"/>
  <c r="BN55" i="1"/>
  <c r="BH55" i="1"/>
  <c r="BU55" i="1" s="1"/>
  <c r="BX55" i="1" s="1"/>
  <c r="BC55" i="1"/>
  <c r="BA55" i="1"/>
  <c r="AT55" i="1"/>
  <c r="Q55" i="1" s="1"/>
  <c r="P55" i="1" s="1"/>
  <c r="AO55" i="1"/>
  <c r="AG55" i="1"/>
  <c r="AF55" i="1"/>
  <c r="AE55" i="1"/>
  <c r="X55" i="1"/>
  <c r="R55" i="1"/>
  <c r="BQ55" i="1" s="1"/>
  <c r="DQ54" i="1"/>
  <c r="DP54" i="1"/>
  <c r="DN54" i="1"/>
  <c r="DO54" i="1" s="1"/>
  <c r="BP54" i="1" s="1"/>
  <c r="CC54" i="1"/>
  <c r="CB54" i="1"/>
  <c r="BT54" i="1"/>
  <c r="BN54" i="1"/>
  <c r="BR54" i="1" s="1"/>
  <c r="BH54" i="1"/>
  <c r="BU54" i="1" s="1"/>
  <c r="BX54" i="1" s="1"/>
  <c r="BC54" i="1"/>
  <c r="BA54" i="1"/>
  <c r="BB54" i="1" s="1"/>
  <c r="AT54" i="1"/>
  <c r="AO54" i="1"/>
  <c r="AN54" i="1"/>
  <c r="AM54" i="1"/>
  <c r="AG54" i="1"/>
  <c r="AF54" i="1"/>
  <c r="AE54" i="1"/>
  <c r="AA54" i="1"/>
  <c r="X54" i="1"/>
  <c r="V54" i="1"/>
  <c r="S54" i="1"/>
  <c r="R54" i="1"/>
  <c r="BQ54" i="1" s="1"/>
  <c r="BS54" i="1" s="1"/>
  <c r="Q54" i="1"/>
  <c r="P54" i="1"/>
  <c r="DQ53" i="1"/>
  <c r="DP53" i="1"/>
  <c r="DN53" i="1"/>
  <c r="DO53" i="1" s="1"/>
  <c r="BP53" i="1" s="1"/>
  <c r="CC53" i="1"/>
  <c r="CB53" i="1"/>
  <c r="BT53" i="1"/>
  <c r="BN53" i="1"/>
  <c r="BR53" i="1" s="1"/>
  <c r="BH53" i="1"/>
  <c r="BU53" i="1" s="1"/>
  <c r="BX53" i="1" s="1"/>
  <c r="BC53" i="1"/>
  <c r="BA53" i="1"/>
  <c r="BB53" i="1" s="1"/>
  <c r="AT53" i="1"/>
  <c r="AO53" i="1"/>
  <c r="AN53" i="1"/>
  <c r="AM53" i="1"/>
  <c r="AG53" i="1"/>
  <c r="AF53" i="1"/>
  <c r="AE53" i="1"/>
  <c r="AA53" i="1"/>
  <c r="X53" i="1"/>
  <c r="V53" i="1"/>
  <c r="S53" i="1"/>
  <c r="R53" i="1"/>
  <c r="BQ53" i="1" s="1"/>
  <c r="Q53" i="1"/>
  <c r="P53" i="1"/>
  <c r="DQ52" i="1"/>
  <c r="DP52" i="1"/>
  <c r="DN52" i="1"/>
  <c r="DO52" i="1" s="1"/>
  <c r="BP52" i="1" s="1"/>
  <c r="CC52" i="1"/>
  <c r="CB52" i="1"/>
  <c r="BT52" i="1"/>
  <c r="BN52" i="1"/>
  <c r="BR52" i="1" s="1"/>
  <c r="BH52" i="1"/>
  <c r="BU52" i="1" s="1"/>
  <c r="BX52" i="1" s="1"/>
  <c r="BC52" i="1"/>
  <c r="BA52" i="1" s="1"/>
  <c r="AT52" i="1"/>
  <c r="AO52" i="1"/>
  <c r="AG52" i="1"/>
  <c r="AF52" i="1"/>
  <c r="AA52" i="1"/>
  <c r="X52" i="1"/>
  <c r="R52" i="1"/>
  <c r="BQ52" i="1" s="1"/>
  <c r="BS52" i="1" s="1"/>
  <c r="Q52" i="1"/>
  <c r="P52" i="1" s="1"/>
  <c r="DQ51" i="1"/>
  <c r="DP51" i="1"/>
  <c r="DN51" i="1"/>
  <c r="DO51" i="1" s="1"/>
  <c r="BP51" i="1" s="1"/>
  <c r="CC51" i="1"/>
  <c r="CB51" i="1"/>
  <c r="BT51" i="1"/>
  <c r="BN51" i="1"/>
  <c r="BR51" i="1" s="1"/>
  <c r="BH51" i="1"/>
  <c r="BU51" i="1" s="1"/>
  <c r="BX51" i="1" s="1"/>
  <c r="BC51" i="1"/>
  <c r="BA51" i="1"/>
  <c r="AT51" i="1"/>
  <c r="AO51" i="1"/>
  <c r="AG51" i="1"/>
  <c r="AF51" i="1"/>
  <c r="AA51" i="1"/>
  <c r="X51" i="1"/>
  <c r="V51" i="1"/>
  <c r="S51" i="1"/>
  <c r="R51" i="1"/>
  <c r="BQ51" i="1" s="1"/>
  <c r="BS51" i="1" s="1"/>
  <c r="Q51" i="1"/>
  <c r="P51" i="1"/>
  <c r="DQ50" i="1"/>
  <c r="DP50" i="1"/>
  <c r="DN50" i="1"/>
  <c r="DO50" i="1" s="1"/>
  <c r="BP50" i="1" s="1"/>
  <c r="CC50" i="1"/>
  <c r="CB50" i="1"/>
  <c r="BT50" i="1"/>
  <c r="BN50" i="1"/>
  <c r="BR50" i="1" s="1"/>
  <c r="BH50" i="1"/>
  <c r="BU50" i="1" s="1"/>
  <c r="BX50" i="1" s="1"/>
  <c r="BC50" i="1"/>
  <c r="BA50" i="1" s="1"/>
  <c r="AT50" i="1"/>
  <c r="AO50" i="1"/>
  <c r="AG50" i="1"/>
  <c r="AF50" i="1"/>
  <c r="AA50" i="1"/>
  <c r="X50" i="1"/>
  <c r="R50" i="1"/>
  <c r="BQ50" i="1" s="1"/>
  <c r="BS50" i="1" s="1"/>
  <c r="Q50" i="1"/>
  <c r="P50" i="1"/>
  <c r="DQ49" i="1"/>
  <c r="DP49" i="1"/>
  <c r="DN49" i="1"/>
  <c r="CC49" i="1"/>
  <c r="CB49" i="1"/>
  <c r="BT49" i="1"/>
  <c r="BN49" i="1"/>
  <c r="BH49" i="1"/>
  <c r="BU49" i="1" s="1"/>
  <c r="BX49" i="1" s="1"/>
  <c r="BC49" i="1"/>
  <c r="BA49" i="1"/>
  <c r="BB49" i="1" s="1"/>
  <c r="AT49" i="1"/>
  <c r="AO49" i="1"/>
  <c r="AN49" i="1"/>
  <c r="AM49" i="1"/>
  <c r="AG49" i="1"/>
  <c r="AF49" i="1"/>
  <c r="AA49" i="1"/>
  <c r="X49" i="1"/>
  <c r="V49" i="1"/>
  <c r="S49" i="1"/>
  <c r="R49" i="1"/>
  <c r="BQ49" i="1" s="1"/>
  <c r="Q49" i="1"/>
  <c r="P49" i="1" s="1"/>
  <c r="DQ48" i="1"/>
  <c r="DP48" i="1"/>
  <c r="DN48" i="1"/>
  <c r="DO48" i="1" s="1"/>
  <c r="BP48" i="1" s="1"/>
  <c r="CC48" i="1"/>
  <c r="CB48" i="1"/>
  <c r="BT48" i="1"/>
  <c r="BN48" i="1"/>
  <c r="BR48" i="1" s="1"/>
  <c r="BH48" i="1"/>
  <c r="BU48" i="1" s="1"/>
  <c r="BX48" i="1" s="1"/>
  <c r="BC48" i="1"/>
  <c r="BA48" i="1" s="1"/>
  <c r="AT48" i="1"/>
  <c r="Q48" i="1" s="1"/>
  <c r="P48" i="1" s="1"/>
  <c r="AO48" i="1"/>
  <c r="R48" i="1" s="1"/>
  <c r="BQ48" i="1" s="1"/>
  <c r="BS48" i="1" s="1"/>
  <c r="AG48" i="1"/>
  <c r="AF48" i="1"/>
  <c r="AE48" i="1" s="1"/>
  <c r="AA48" i="1"/>
  <c r="X48" i="1"/>
  <c r="DQ47" i="1"/>
  <c r="DP47" i="1"/>
  <c r="DN47" i="1"/>
  <c r="CC47" i="1"/>
  <c r="CB47" i="1"/>
  <c r="BT47" i="1"/>
  <c r="BN47" i="1"/>
  <c r="BH47" i="1"/>
  <c r="BU47" i="1" s="1"/>
  <c r="BX47" i="1" s="1"/>
  <c r="BC47" i="1"/>
  <c r="BA47" i="1"/>
  <c r="BB47" i="1" s="1"/>
  <c r="AT47" i="1"/>
  <c r="AO47" i="1"/>
  <c r="AN47" i="1"/>
  <c r="AM47" i="1"/>
  <c r="AG47" i="1"/>
  <c r="AF47" i="1"/>
  <c r="AE47" i="1" s="1"/>
  <c r="AA47" i="1"/>
  <c r="X47" i="1"/>
  <c r="V47" i="1"/>
  <c r="S47" i="1"/>
  <c r="R47" i="1"/>
  <c r="BQ47" i="1" s="1"/>
  <c r="Q47" i="1"/>
  <c r="P47" i="1"/>
  <c r="DQ46" i="1"/>
  <c r="DP46" i="1"/>
  <c r="DN46" i="1"/>
  <c r="CC46" i="1"/>
  <c r="CB46" i="1"/>
  <c r="BT46" i="1"/>
  <c r="BN46" i="1"/>
  <c r="BH46" i="1"/>
  <c r="BU46" i="1" s="1"/>
  <c r="BX46" i="1" s="1"/>
  <c r="BC46" i="1"/>
  <c r="BA46" i="1" s="1"/>
  <c r="AT46" i="1"/>
  <c r="AO46" i="1"/>
  <c r="AG46" i="1"/>
  <c r="AF46" i="1"/>
  <c r="AE46" i="1"/>
  <c r="AA46" i="1"/>
  <c r="X46" i="1"/>
  <c r="R46" i="1"/>
  <c r="BQ46" i="1" s="1"/>
  <c r="Q46" i="1"/>
  <c r="P46" i="1"/>
  <c r="DQ45" i="1"/>
  <c r="DP45" i="1"/>
  <c r="DN45" i="1"/>
  <c r="DO45" i="1" s="1"/>
  <c r="BP45" i="1" s="1"/>
  <c r="CC45" i="1"/>
  <c r="CB45" i="1"/>
  <c r="BT45" i="1"/>
  <c r="BN45" i="1"/>
  <c r="BR45" i="1" s="1"/>
  <c r="BH45" i="1"/>
  <c r="BU45" i="1" s="1"/>
  <c r="BX45" i="1" s="1"/>
  <c r="BC45" i="1"/>
  <c r="BA45" i="1" s="1"/>
  <c r="AT45" i="1"/>
  <c r="AO45" i="1"/>
  <c r="AG45" i="1"/>
  <c r="AF45" i="1"/>
  <c r="AE45" i="1" s="1"/>
  <c r="AA45" i="1"/>
  <c r="X45" i="1"/>
  <c r="R45" i="1"/>
  <c r="BQ45" i="1" s="1"/>
  <c r="BS45" i="1" s="1"/>
  <c r="Q45" i="1"/>
  <c r="P45" i="1" s="1"/>
  <c r="DQ44" i="1"/>
  <c r="DP44" i="1"/>
  <c r="DN44" i="1"/>
  <c r="CC44" i="1"/>
  <c r="CB44" i="1"/>
  <c r="BT44" i="1"/>
  <c r="BN44" i="1"/>
  <c r="BH44" i="1"/>
  <c r="BU44" i="1" s="1"/>
  <c r="BX44" i="1" s="1"/>
  <c r="BC44" i="1"/>
  <c r="BA44" i="1" s="1"/>
  <c r="AT44" i="1"/>
  <c r="Q44" i="1" s="1"/>
  <c r="P44" i="1" s="1"/>
  <c r="AO44" i="1"/>
  <c r="AG44" i="1"/>
  <c r="AF44" i="1"/>
  <c r="AE44" i="1"/>
  <c r="X44" i="1"/>
  <c r="R44" i="1"/>
  <c r="BQ44" i="1" s="1"/>
  <c r="DQ43" i="1"/>
  <c r="DP43" i="1"/>
  <c r="DN43" i="1"/>
  <c r="DO43" i="1" s="1"/>
  <c r="BP43" i="1" s="1"/>
  <c r="CC43" i="1"/>
  <c r="CB43" i="1"/>
  <c r="BT43" i="1"/>
  <c r="BN43" i="1"/>
  <c r="BR43" i="1" s="1"/>
  <c r="BH43" i="1"/>
  <c r="BU43" i="1" s="1"/>
  <c r="BX43" i="1" s="1"/>
  <c r="BC43" i="1"/>
  <c r="BA43" i="1" s="1"/>
  <c r="AT43" i="1"/>
  <c r="Q43" i="1" s="1"/>
  <c r="P43" i="1" s="1"/>
  <c r="AO43" i="1"/>
  <c r="R43" i="1" s="1"/>
  <c r="BQ43" i="1" s="1"/>
  <c r="BS43" i="1" s="1"/>
  <c r="AG43" i="1"/>
  <c r="AF43" i="1"/>
  <c r="AE43" i="1" s="1"/>
  <c r="AA43" i="1"/>
  <c r="X43" i="1"/>
  <c r="DQ42" i="1"/>
  <c r="DP42" i="1"/>
  <c r="DN42" i="1"/>
  <c r="DO42" i="1" s="1"/>
  <c r="BP42" i="1" s="1"/>
  <c r="CC42" i="1"/>
  <c r="CB42" i="1"/>
  <c r="BT42" i="1"/>
  <c r="BN42" i="1"/>
  <c r="BR42" i="1" s="1"/>
  <c r="BH42" i="1"/>
  <c r="BU42" i="1" s="1"/>
  <c r="BX42" i="1" s="1"/>
  <c r="BC42" i="1"/>
  <c r="BA42" i="1"/>
  <c r="BB42" i="1" s="1"/>
  <c r="AT42" i="1"/>
  <c r="AO42" i="1"/>
  <c r="AN42" i="1"/>
  <c r="AM42" i="1"/>
  <c r="AG42" i="1"/>
  <c r="AF42" i="1"/>
  <c r="AE42" i="1"/>
  <c r="AA42" i="1"/>
  <c r="X42" i="1"/>
  <c r="V42" i="1"/>
  <c r="S42" i="1"/>
  <c r="R42" i="1"/>
  <c r="BQ42" i="1" s="1"/>
  <c r="BS42" i="1" s="1"/>
  <c r="Q42" i="1"/>
  <c r="P42" i="1"/>
  <c r="DQ41" i="1"/>
  <c r="DP41" i="1"/>
  <c r="DN41" i="1"/>
  <c r="CC41" i="1"/>
  <c r="CB41" i="1"/>
  <c r="BT41" i="1"/>
  <c r="BN41" i="1"/>
  <c r="BH41" i="1"/>
  <c r="BU41" i="1" s="1"/>
  <c r="BX41" i="1" s="1"/>
  <c r="BC41" i="1"/>
  <c r="BA41" i="1" s="1"/>
  <c r="AT41" i="1"/>
  <c r="AO41" i="1"/>
  <c r="AG41" i="1"/>
  <c r="AF41" i="1"/>
  <c r="AE41" i="1" s="1"/>
  <c r="AA41" i="1"/>
  <c r="X41" i="1"/>
  <c r="R41" i="1"/>
  <c r="BQ41" i="1" s="1"/>
  <c r="Q41" i="1"/>
  <c r="P41" i="1" s="1"/>
  <c r="DQ40" i="1"/>
  <c r="DP40" i="1"/>
  <c r="DN40" i="1"/>
  <c r="DO40" i="1" s="1"/>
  <c r="BP40" i="1" s="1"/>
  <c r="CC40" i="1"/>
  <c r="CB40" i="1"/>
  <c r="BT40" i="1"/>
  <c r="BN40" i="1"/>
  <c r="BR40" i="1" s="1"/>
  <c r="BH40" i="1"/>
  <c r="BU40" i="1" s="1"/>
  <c r="BX40" i="1" s="1"/>
  <c r="BC40" i="1"/>
  <c r="BA40" i="1" s="1"/>
  <c r="AT40" i="1"/>
  <c r="AO40" i="1"/>
  <c r="AG40" i="1"/>
  <c r="AF40" i="1"/>
  <c r="AE40" i="1" s="1"/>
  <c r="AA40" i="1"/>
  <c r="X40" i="1"/>
  <c r="R40" i="1"/>
  <c r="BQ40" i="1" s="1"/>
  <c r="BS40" i="1" s="1"/>
  <c r="Q40" i="1"/>
  <c r="P40" i="1" s="1"/>
  <c r="DQ39" i="1"/>
  <c r="DP39" i="1"/>
  <c r="DN39" i="1"/>
  <c r="DO39" i="1" s="1"/>
  <c r="BP39" i="1" s="1"/>
  <c r="CC39" i="1"/>
  <c r="CB39" i="1"/>
  <c r="BT39" i="1"/>
  <c r="BN39" i="1"/>
  <c r="BH39" i="1"/>
  <c r="BU39" i="1" s="1"/>
  <c r="BX39" i="1" s="1"/>
  <c r="BC39" i="1"/>
  <c r="BA39" i="1" s="1"/>
  <c r="AT39" i="1"/>
  <c r="Q39" i="1" s="1"/>
  <c r="P39" i="1" s="1"/>
  <c r="AO39" i="1"/>
  <c r="R39" i="1" s="1"/>
  <c r="BQ39" i="1" s="1"/>
  <c r="AG39" i="1"/>
  <c r="AF39" i="1"/>
  <c r="AE39" i="1" s="1"/>
  <c r="AA39" i="1"/>
  <c r="X39" i="1"/>
  <c r="DQ38" i="1"/>
  <c r="DP38" i="1"/>
  <c r="DN38" i="1"/>
  <c r="DO38" i="1" s="1"/>
  <c r="BP38" i="1" s="1"/>
  <c r="CC38" i="1"/>
  <c r="CB38" i="1"/>
  <c r="BT38" i="1"/>
  <c r="BN38" i="1"/>
  <c r="BR38" i="1" s="1"/>
  <c r="BH38" i="1"/>
  <c r="BU38" i="1" s="1"/>
  <c r="BX38" i="1" s="1"/>
  <c r="BC38" i="1"/>
  <c r="BA38" i="1"/>
  <c r="BB38" i="1" s="1"/>
  <c r="AT38" i="1"/>
  <c r="AO38" i="1"/>
  <c r="AN38" i="1"/>
  <c r="AM38" i="1"/>
  <c r="AG38" i="1"/>
  <c r="AF38" i="1"/>
  <c r="AE38" i="1"/>
  <c r="AA38" i="1"/>
  <c r="X38" i="1"/>
  <c r="V38" i="1"/>
  <c r="S38" i="1"/>
  <c r="R38" i="1"/>
  <c r="BQ38" i="1" s="1"/>
  <c r="BS38" i="1" s="1"/>
  <c r="Q38" i="1"/>
  <c r="P38" i="1"/>
  <c r="DQ37" i="1"/>
  <c r="DP37" i="1"/>
  <c r="DN37" i="1"/>
  <c r="DO37" i="1" s="1"/>
  <c r="BP37" i="1" s="1"/>
  <c r="CC37" i="1"/>
  <c r="CB37" i="1"/>
  <c r="BT37" i="1"/>
  <c r="BN37" i="1"/>
  <c r="BR37" i="1" s="1"/>
  <c r="BH37" i="1"/>
  <c r="BU37" i="1" s="1"/>
  <c r="BX37" i="1" s="1"/>
  <c r="BC37" i="1"/>
  <c r="BA37" i="1"/>
  <c r="BB37" i="1" s="1"/>
  <c r="AT37" i="1"/>
  <c r="AO37" i="1"/>
  <c r="AN37" i="1"/>
  <c r="AM37" i="1"/>
  <c r="AG37" i="1"/>
  <c r="AF37" i="1"/>
  <c r="AE37" i="1"/>
  <c r="AA37" i="1"/>
  <c r="X37" i="1"/>
  <c r="V37" i="1"/>
  <c r="S37" i="1"/>
  <c r="R37" i="1"/>
  <c r="BQ37" i="1" s="1"/>
  <c r="BS37" i="1" s="1"/>
  <c r="Q37" i="1"/>
  <c r="P37" i="1"/>
  <c r="DQ36" i="1"/>
  <c r="DP36" i="1"/>
  <c r="DN36" i="1"/>
  <c r="CC36" i="1"/>
  <c r="CB36" i="1"/>
  <c r="BT36" i="1"/>
  <c r="BN36" i="1"/>
  <c r="BH36" i="1"/>
  <c r="BU36" i="1" s="1"/>
  <c r="BX36" i="1" s="1"/>
  <c r="BC36" i="1"/>
  <c r="BA36" i="1"/>
  <c r="AT36" i="1"/>
  <c r="Q36" i="1" s="1"/>
  <c r="P36" i="1" s="1"/>
  <c r="AO36" i="1"/>
  <c r="R36" i="1" s="1"/>
  <c r="BQ36" i="1" s="1"/>
  <c r="AN36" i="1"/>
  <c r="AM36" i="1"/>
  <c r="AG36" i="1"/>
  <c r="AF36" i="1"/>
  <c r="AE36" i="1"/>
  <c r="X36" i="1"/>
  <c r="DQ35" i="1"/>
  <c r="DP35" i="1"/>
  <c r="DN35" i="1"/>
  <c r="DO35" i="1" s="1"/>
  <c r="BP35" i="1" s="1"/>
  <c r="CC35" i="1"/>
  <c r="CB35" i="1"/>
  <c r="BT35" i="1"/>
  <c r="BN35" i="1"/>
  <c r="BR35" i="1" s="1"/>
  <c r="BH35" i="1"/>
  <c r="BU35" i="1" s="1"/>
  <c r="BX35" i="1" s="1"/>
  <c r="BC35" i="1"/>
  <c r="BA35" i="1"/>
  <c r="BB35" i="1" s="1"/>
  <c r="AT35" i="1"/>
  <c r="AO35" i="1"/>
  <c r="AN35" i="1"/>
  <c r="AM35" i="1"/>
  <c r="AG35" i="1"/>
  <c r="AF35" i="1"/>
  <c r="AE35" i="1"/>
  <c r="AA35" i="1"/>
  <c r="X35" i="1"/>
  <c r="V35" i="1"/>
  <c r="S35" i="1"/>
  <c r="R35" i="1"/>
  <c r="BQ35" i="1" s="1"/>
  <c r="BS35" i="1" s="1"/>
  <c r="Q35" i="1"/>
  <c r="P35" i="1"/>
  <c r="DQ34" i="1"/>
  <c r="DP34" i="1"/>
  <c r="DN34" i="1"/>
  <c r="DO34" i="1" s="1"/>
  <c r="BP34" i="1" s="1"/>
  <c r="CC34" i="1"/>
  <c r="CB34" i="1"/>
  <c r="BT34" i="1"/>
  <c r="BN34" i="1"/>
  <c r="BR34" i="1" s="1"/>
  <c r="BH34" i="1"/>
  <c r="BU34" i="1" s="1"/>
  <c r="BX34" i="1" s="1"/>
  <c r="BC34" i="1"/>
  <c r="BA34" i="1"/>
  <c r="BB34" i="1" s="1"/>
  <c r="AT34" i="1"/>
  <c r="AO34" i="1"/>
  <c r="AN34" i="1"/>
  <c r="AM34" i="1"/>
  <c r="AG34" i="1"/>
  <c r="AF34" i="1"/>
  <c r="AE34" i="1"/>
  <c r="AA34" i="1"/>
  <c r="X34" i="1"/>
  <c r="V34" i="1"/>
  <c r="S34" i="1"/>
  <c r="R34" i="1"/>
  <c r="BQ34" i="1" s="1"/>
  <c r="BS34" i="1" s="1"/>
  <c r="Q34" i="1"/>
  <c r="P34" i="1"/>
  <c r="DQ33" i="1"/>
  <c r="DP33" i="1"/>
  <c r="DN33" i="1"/>
  <c r="CC33" i="1"/>
  <c r="CB33" i="1"/>
  <c r="BT33" i="1"/>
  <c r="BN33" i="1"/>
  <c r="BH33" i="1"/>
  <c r="BU33" i="1" s="1"/>
  <c r="BX33" i="1" s="1"/>
  <c r="BC33" i="1"/>
  <c r="BA33" i="1" s="1"/>
  <c r="AT33" i="1"/>
  <c r="Q33" i="1" s="1"/>
  <c r="P33" i="1" s="1"/>
  <c r="AO33" i="1"/>
  <c r="R33" i="1" s="1"/>
  <c r="BQ33" i="1" s="1"/>
  <c r="AG33" i="1"/>
  <c r="AF33" i="1"/>
  <c r="AE33" i="1"/>
  <c r="X33" i="1"/>
  <c r="DQ32" i="1"/>
  <c r="DP32" i="1"/>
  <c r="DN32" i="1"/>
  <c r="CC32" i="1"/>
  <c r="CB32" i="1"/>
  <c r="BT32" i="1"/>
  <c r="BN32" i="1"/>
  <c r="BH32" i="1"/>
  <c r="BU32" i="1" s="1"/>
  <c r="BX32" i="1" s="1"/>
  <c r="BC32" i="1"/>
  <c r="BA32" i="1"/>
  <c r="AT32" i="1"/>
  <c r="AO32" i="1"/>
  <c r="AG32" i="1"/>
  <c r="AF32" i="1"/>
  <c r="AE32" i="1"/>
  <c r="AA32" i="1"/>
  <c r="X32" i="1"/>
  <c r="V32" i="1"/>
  <c r="S32" i="1"/>
  <c r="R32" i="1"/>
  <c r="BQ32" i="1" s="1"/>
  <c r="Q32" i="1"/>
  <c r="P32" i="1"/>
  <c r="DQ31" i="1"/>
  <c r="DP31" i="1"/>
  <c r="DN31" i="1"/>
  <c r="CC31" i="1"/>
  <c r="CB31" i="1"/>
  <c r="BT31" i="1"/>
  <c r="BN31" i="1"/>
  <c r="BH31" i="1"/>
  <c r="BU31" i="1" s="1"/>
  <c r="BX31" i="1" s="1"/>
  <c r="BC31" i="1"/>
  <c r="BA31" i="1"/>
  <c r="AT31" i="1"/>
  <c r="AO31" i="1"/>
  <c r="AM31" i="1"/>
  <c r="AG31" i="1"/>
  <c r="AF31" i="1"/>
  <c r="AE31" i="1"/>
  <c r="AA31" i="1"/>
  <c r="X31" i="1"/>
  <c r="V31" i="1"/>
  <c r="S31" i="1"/>
  <c r="R31" i="1"/>
  <c r="BQ31" i="1" s="1"/>
  <c r="Q31" i="1"/>
  <c r="P31" i="1" s="1"/>
  <c r="DQ30" i="1"/>
  <c r="DP30" i="1"/>
  <c r="DN30" i="1"/>
  <c r="CC30" i="1"/>
  <c r="CB30" i="1"/>
  <c r="BT30" i="1"/>
  <c r="BN30" i="1"/>
  <c r="BH30" i="1"/>
  <c r="BU30" i="1" s="1"/>
  <c r="BX30" i="1" s="1"/>
  <c r="BC30" i="1"/>
  <c r="BA30" i="1"/>
  <c r="AT30" i="1"/>
  <c r="AO30" i="1"/>
  <c r="AM30" i="1"/>
  <c r="AG30" i="1"/>
  <c r="AF30" i="1"/>
  <c r="AE30" i="1" s="1"/>
  <c r="X30" i="1"/>
  <c r="V30" i="1"/>
  <c r="S30" i="1"/>
  <c r="R30" i="1"/>
  <c r="BQ30" i="1" s="1"/>
  <c r="Q30" i="1"/>
  <c r="P30" i="1" s="1"/>
  <c r="DQ29" i="1"/>
  <c r="DP29" i="1"/>
  <c r="DN29" i="1"/>
  <c r="DO29" i="1" s="1"/>
  <c r="BP29" i="1" s="1"/>
  <c r="CC29" i="1"/>
  <c r="CB29" i="1"/>
  <c r="BT29" i="1"/>
  <c r="BN29" i="1"/>
  <c r="BR29" i="1" s="1"/>
  <c r="BH29" i="1"/>
  <c r="BU29" i="1" s="1"/>
  <c r="BX29" i="1" s="1"/>
  <c r="BC29" i="1"/>
  <c r="BA29" i="1" s="1"/>
  <c r="AT29" i="1"/>
  <c r="Q29" i="1" s="1"/>
  <c r="P29" i="1" s="1"/>
  <c r="AO29" i="1"/>
  <c r="AG29" i="1"/>
  <c r="AF29" i="1"/>
  <c r="AE29" i="1" s="1"/>
  <c r="AA29" i="1"/>
  <c r="X29" i="1"/>
  <c r="R29" i="1"/>
  <c r="BQ29" i="1" s="1"/>
  <c r="BS29" i="1" s="1"/>
  <c r="DQ28" i="1"/>
  <c r="DP28" i="1"/>
  <c r="DN28" i="1"/>
  <c r="DO28" i="1" s="1"/>
  <c r="BP28" i="1" s="1"/>
  <c r="CC28" i="1"/>
  <c r="CB28" i="1"/>
  <c r="BT28" i="1"/>
  <c r="BN28" i="1"/>
  <c r="BR28" i="1" s="1"/>
  <c r="BH28" i="1"/>
  <c r="BU28" i="1" s="1"/>
  <c r="BX28" i="1" s="1"/>
  <c r="BC28" i="1"/>
  <c r="BA28" i="1" s="1"/>
  <c r="AT28" i="1"/>
  <c r="Q28" i="1" s="1"/>
  <c r="P28" i="1" s="1"/>
  <c r="AO28" i="1"/>
  <c r="R28" i="1" s="1"/>
  <c r="BQ28" i="1" s="1"/>
  <c r="BS28" i="1" s="1"/>
  <c r="AG28" i="1"/>
  <c r="AF28" i="1"/>
  <c r="AE28" i="1" s="1"/>
  <c r="AA28" i="1"/>
  <c r="X28" i="1"/>
  <c r="DQ27" i="1"/>
  <c r="DP27" i="1"/>
  <c r="DN27" i="1"/>
  <c r="CC27" i="1"/>
  <c r="CB27" i="1"/>
  <c r="BT27" i="1"/>
  <c r="BN27" i="1"/>
  <c r="BH27" i="1"/>
  <c r="BU27" i="1" s="1"/>
  <c r="BX27" i="1" s="1"/>
  <c r="BC27" i="1"/>
  <c r="BA27" i="1"/>
  <c r="BB27" i="1" s="1"/>
  <c r="AT27" i="1"/>
  <c r="AO27" i="1"/>
  <c r="AN27" i="1"/>
  <c r="AM27" i="1"/>
  <c r="AG27" i="1"/>
  <c r="AF27" i="1"/>
  <c r="AE27" i="1"/>
  <c r="X27" i="1"/>
  <c r="V27" i="1"/>
  <c r="S27" i="1"/>
  <c r="R27" i="1"/>
  <c r="BQ27" i="1" s="1"/>
  <c r="Q27" i="1"/>
  <c r="P27" i="1"/>
  <c r="DQ26" i="1"/>
  <c r="DP26" i="1"/>
  <c r="DN26" i="1"/>
  <c r="DO26" i="1" s="1"/>
  <c r="BP26" i="1" s="1"/>
  <c r="CC26" i="1"/>
  <c r="CB26" i="1"/>
  <c r="BT26" i="1"/>
  <c r="BN26" i="1"/>
  <c r="BR26" i="1" s="1"/>
  <c r="BH26" i="1"/>
  <c r="BU26" i="1" s="1"/>
  <c r="BX26" i="1" s="1"/>
  <c r="BC26" i="1"/>
  <c r="BA26" i="1"/>
  <c r="BB26" i="1" s="1"/>
  <c r="AT26" i="1"/>
  <c r="AO26" i="1"/>
  <c r="AN26" i="1"/>
  <c r="AM26" i="1"/>
  <c r="AG26" i="1"/>
  <c r="AF26" i="1"/>
  <c r="AE26" i="1"/>
  <c r="AA26" i="1"/>
  <c r="X26" i="1"/>
  <c r="V26" i="1"/>
  <c r="S26" i="1"/>
  <c r="R26" i="1"/>
  <c r="BQ26" i="1" s="1"/>
  <c r="BS26" i="1" s="1"/>
  <c r="Q26" i="1"/>
  <c r="P26" i="1"/>
  <c r="DQ25" i="1"/>
  <c r="DP25" i="1"/>
  <c r="DN25" i="1"/>
  <c r="CC25" i="1"/>
  <c r="CB25" i="1"/>
  <c r="BT25" i="1"/>
  <c r="BN25" i="1"/>
  <c r="BH25" i="1"/>
  <c r="BU25" i="1" s="1"/>
  <c r="BX25" i="1" s="1"/>
  <c r="BC25" i="1"/>
  <c r="BA25" i="1" s="1"/>
  <c r="AT25" i="1"/>
  <c r="AO25" i="1"/>
  <c r="AG25" i="1"/>
  <c r="AF25" i="1"/>
  <c r="AE25" i="1"/>
  <c r="X25" i="1"/>
  <c r="R25" i="1"/>
  <c r="BQ25" i="1" s="1"/>
  <c r="Q25" i="1"/>
  <c r="P25" i="1" s="1"/>
  <c r="DQ24" i="1"/>
  <c r="DP24" i="1"/>
  <c r="DN24" i="1"/>
  <c r="DO24" i="1" s="1"/>
  <c r="BP24" i="1" s="1"/>
  <c r="CC24" i="1"/>
  <c r="CB24" i="1"/>
  <c r="BT24" i="1"/>
  <c r="BN24" i="1"/>
  <c r="BH24" i="1"/>
  <c r="BU24" i="1" s="1"/>
  <c r="BX24" i="1" s="1"/>
  <c r="BC24" i="1"/>
  <c r="BA24" i="1" s="1"/>
  <c r="AT24" i="1"/>
  <c r="AO24" i="1"/>
  <c r="AG24" i="1"/>
  <c r="AE24" i="1" s="1"/>
  <c r="AF24" i="1"/>
  <c r="AA24" i="1"/>
  <c r="X24" i="1"/>
  <c r="R24" i="1"/>
  <c r="BQ24" i="1" s="1"/>
  <c r="BS24" i="1" s="1"/>
  <c r="Q24" i="1"/>
  <c r="P24" i="1" s="1"/>
  <c r="DQ23" i="1"/>
  <c r="DP23" i="1"/>
  <c r="DN23" i="1"/>
  <c r="DO23" i="1" s="1"/>
  <c r="BP23" i="1" s="1"/>
  <c r="CC23" i="1"/>
  <c r="CB23" i="1"/>
  <c r="BT23" i="1"/>
  <c r="BN23" i="1"/>
  <c r="BR23" i="1" s="1"/>
  <c r="BH23" i="1"/>
  <c r="BU23" i="1" s="1"/>
  <c r="BX23" i="1" s="1"/>
  <c r="BC23" i="1"/>
  <c r="BA23" i="1" s="1"/>
  <c r="AT23" i="1"/>
  <c r="AO23" i="1"/>
  <c r="AG23" i="1"/>
  <c r="AF23" i="1"/>
  <c r="AE23" i="1"/>
  <c r="AA23" i="1"/>
  <c r="X23" i="1"/>
  <c r="R23" i="1"/>
  <c r="BQ23" i="1" s="1"/>
  <c r="BS23" i="1" s="1"/>
  <c r="Q23" i="1"/>
  <c r="P23" i="1" s="1"/>
  <c r="DQ22" i="1"/>
  <c r="DP22" i="1"/>
  <c r="DN22" i="1"/>
  <c r="CC22" i="1"/>
  <c r="CB22" i="1"/>
  <c r="BT22" i="1"/>
  <c r="BN22" i="1"/>
  <c r="BH22" i="1"/>
  <c r="BU22" i="1" s="1"/>
  <c r="BX22" i="1" s="1"/>
  <c r="BC22" i="1"/>
  <c r="BA22" i="1" s="1"/>
  <c r="AT22" i="1"/>
  <c r="Q22" i="1" s="1"/>
  <c r="P22" i="1" s="1"/>
  <c r="AO22" i="1"/>
  <c r="R22" i="1" s="1"/>
  <c r="BQ22" i="1" s="1"/>
  <c r="AG22" i="1"/>
  <c r="AE22" i="1" s="1"/>
  <c r="AF22" i="1"/>
  <c r="X22" i="1"/>
  <c r="DQ21" i="1"/>
  <c r="DP21" i="1"/>
  <c r="DN21" i="1"/>
  <c r="DO21" i="1" s="1"/>
  <c r="BP21" i="1" s="1"/>
  <c r="CC21" i="1"/>
  <c r="CB21" i="1"/>
  <c r="BT21" i="1"/>
  <c r="BN21" i="1"/>
  <c r="BR21" i="1" s="1"/>
  <c r="BH21" i="1"/>
  <c r="BU21" i="1" s="1"/>
  <c r="BX21" i="1" s="1"/>
  <c r="BC21" i="1"/>
  <c r="BA21" i="1"/>
  <c r="BB21" i="1" s="1"/>
  <c r="AT21" i="1"/>
  <c r="AO21" i="1"/>
  <c r="AN21" i="1"/>
  <c r="AM21" i="1"/>
  <c r="AG21" i="1"/>
  <c r="AF21" i="1"/>
  <c r="AE21" i="1"/>
  <c r="AA21" i="1"/>
  <c r="X21" i="1"/>
  <c r="V21" i="1"/>
  <c r="S21" i="1"/>
  <c r="R21" i="1"/>
  <c r="BQ21" i="1" s="1"/>
  <c r="BS21" i="1" s="1"/>
  <c r="Q21" i="1"/>
  <c r="P21" i="1"/>
  <c r="DQ20" i="1"/>
  <c r="DP20" i="1"/>
  <c r="DN20" i="1"/>
  <c r="DO20" i="1" s="1"/>
  <c r="BP20" i="1" s="1"/>
  <c r="CC20" i="1"/>
  <c r="CB20" i="1"/>
  <c r="BT20" i="1"/>
  <c r="BN20" i="1"/>
  <c r="BR20" i="1" s="1"/>
  <c r="BH20" i="1"/>
  <c r="BU20" i="1" s="1"/>
  <c r="BX20" i="1" s="1"/>
  <c r="BC20" i="1"/>
  <c r="BA20" i="1"/>
  <c r="BB20" i="1" s="1"/>
  <c r="AT20" i="1"/>
  <c r="AO20" i="1"/>
  <c r="AN20" i="1"/>
  <c r="AM20" i="1"/>
  <c r="AG20" i="1"/>
  <c r="AF20" i="1"/>
  <c r="AE20" i="1"/>
  <c r="AA20" i="1"/>
  <c r="X20" i="1"/>
  <c r="V20" i="1"/>
  <c r="S20" i="1"/>
  <c r="R20" i="1"/>
  <c r="BQ20" i="1" s="1"/>
  <c r="BS20" i="1" s="1"/>
  <c r="Q20" i="1"/>
  <c r="P20" i="1"/>
  <c r="DQ19" i="1"/>
  <c r="DP19" i="1"/>
  <c r="DN19" i="1"/>
  <c r="CC19" i="1"/>
  <c r="CB19" i="1"/>
  <c r="BT19" i="1"/>
  <c r="BN19" i="1"/>
  <c r="BH19" i="1"/>
  <c r="BU19" i="1" s="1"/>
  <c r="BX19" i="1" s="1"/>
  <c r="BC19" i="1"/>
  <c r="BA19" i="1"/>
  <c r="BB19" i="1" s="1"/>
  <c r="AT19" i="1"/>
  <c r="AO19" i="1"/>
  <c r="AN19" i="1"/>
  <c r="AM19" i="1"/>
  <c r="AG19" i="1"/>
  <c r="AF19" i="1"/>
  <c r="AE19" i="1"/>
  <c r="X19" i="1"/>
  <c r="V19" i="1"/>
  <c r="S19" i="1"/>
  <c r="R19" i="1"/>
  <c r="BQ19" i="1" s="1"/>
  <c r="Q19" i="1"/>
  <c r="P19" i="1"/>
  <c r="DQ18" i="1"/>
  <c r="DP18" i="1"/>
  <c r="DN18" i="1"/>
  <c r="DO18" i="1" s="1"/>
  <c r="BP18" i="1" s="1"/>
  <c r="CC18" i="1"/>
  <c r="CB18" i="1"/>
  <c r="BT18" i="1"/>
  <c r="BN18" i="1"/>
  <c r="BH18" i="1"/>
  <c r="BU18" i="1" s="1"/>
  <c r="BX18" i="1" s="1"/>
  <c r="BC18" i="1"/>
  <c r="BA18" i="1"/>
  <c r="BB18" i="1" s="1"/>
  <c r="AT18" i="1"/>
  <c r="AO18" i="1"/>
  <c r="AN18" i="1"/>
  <c r="AM18" i="1"/>
  <c r="AG18" i="1"/>
  <c r="AF18" i="1"/>
  <c r="AE18" i="1"/>
  <c r="AA18" i="1"/>
  <c r="X18" i="1"/>
  <c r="V18" i="1"/>
  <c r="S18" i="1"/>
  <c r="R18" i="1"/>
  <c r="BQ18" i="1" s="1"/>
  <c r="BS18" i="1" s="1"/>
  <c r="Q18" i="1"/>
  <c r="P18" i="1"/>
  <c r="DQ17" i="1"/>
  <c r="DP17" i="1"/>
  <c r="DN17" i="1"/>
  <c r="DO17" i="1" s="1"/>
  <c r="BP17" i="1" s="1"/>
  <c r="CC17" i="1"/>
  <c r="CB17" i="1"/>
  <c r="BT17" i="1"/>
  <c r="BN17" i="1"/>
  <c r="BR17" i="1" s="1"/>
  <c r="BH17" i="1"/>
  <c r="BU17" i="1" s="1"/>
  <c r="BX17" i="1" s="1"/>
  <c r="BC17" i="1"/>
  <c r="BA17" i="1"/>
  <c r="BB17" i="1" s="1"/>
  <c r="AT17" i="1"/>
  <c r="AO17" i="1"/>
  <c r="AN17" i="1"/>
  <c r="AM17" i="1"/>
  <c r="AG17" i="1"/>
  <c r="AF17" i="1"/>
  <c r="AE17" i="1"/>
  <c r="AA17" i="1"/>
  <c r="X17" i="1"/>
  <c r="V17" i="1"/>
  <c r="S17" i="1"/>
  <c r="R17" i="1"/>
  <c r="BQ17" i="1" s="1"/>
  <c r="BS17" i="1" s="1"/>
  <c r="Q17" i="1"/>
  <c r="P17" i="1"/>
  <c r="AB57" i="1" l="1"/>
  <c r="AC57" i="1" s="1"/>
  <c r="AE50" i="1"/>
  <c r="DO49" i="1"/>
  <c r="BP49" i="1" s="1"/>
  <c r="BS49" i="1" s="1"/>
  <c r="DO41" i="1"/>
  <c r="BP41" i="1" s="1"/>
  <c r="BR24" i="1"/>
  <c r="S48" i="1"/>
  <c r="V48" i="1"/>
  <c r="AM48" i="1"/>
  <c r="AN48" i="1"/>
  <c r="BB48" i="1"/>
  <c r="S44" i="1"/>
  <c r="V44" i="1"/>
  <c r="AM44" i="1"/>
  <c r="AN44" i="1"/>
  <c r="BB44" i="1"/>
  <c r="V43" i="1"/>
  <c r="AN43" i="1"/>
  <c r="AM43" i="1"/>
  <c r="AN39" i="1"/>
  <c r="AM39" i="1"/>
  <c r="DO27" i="1"/>
  <c r="BP27" i="1" s="1"/>
  <c r="AA27" i="1"/>
  <c r="AB27" i="1" s="1"/>
  <c r="AC27" i="1" s="1"/>
  <c r="Y27" i="1" s="1"/>
  <c r="W27" i="1" s="1"/>
  <c r="Z27" i="1" s="1"/>
  <c r="T27" i="1" s="1"/>
  <c r="U27" i="1" s="1"/>
  <c r="S23" i="1"/>
  <c r="AM23" i="1"/>
  <c r="V23" i="1"/>
  <c r="AN23" i="1"/>
  <c r="BB23" i="1"/>
  <c r="AE49" i="1"/>
  <c r="DO47" i="1"/>
  <c r="BP47" i="1" s="1"/>
  <c r="DO46" i="1"/>
  <c r="BP46" i="1" s="1"/>
  <c r="AE52" i="1"/>
  <c r="AE51" i="1"/>
  <c r="BR49" i="1"/>
  <c r="DO32" i="1"/>
  <c r="BP32" i="1" s="1"/>
  <c r="DO31" i="1"/>
  <c r="BP31" i="1" s="1"/>
  <c r="BB55" i="1"/>
  <c r="AN55" i="1"/>
  <c r="AM55" i="1"/>
  <c r="V55" i="1"/>
  <c r="S55" i="1"/>
  <c r="AN46" i="1"/>
  <c r="S46" i="1"/>
  <c r="V46" i="1"/>
  <c r="AM46" i="1"/>
  <c r="BB46" i="1"/>
  <c r="AN45" i="1"/>
  <c r="S45" i="1"/>
  <c r="V45" i="1"/>
  <c r="AM45" i="1"/>
  <c r="BB45" i="1"/>
  <c r="DO44" i="1"/>
  <c r="BP44" i="1" s="1"/>
  <c r="AA44" i="1"/>
  <c r="AB44" i="1" s="1"/>
  <c r="AC44" i="1" s="1"/>
  <c r="Y44" i="1" s="1"/>
  <c r="W44" i="1" s="1"/>
  <c r="Z44" i="1" s="1"/>
  <c r="T44" i="1" s="1"/>
  <c r="U44" i="1" s="1"/>
  <c r="BB39" i="1"/>
  <c r="V39" i="1"/>
  <c r="S39" i="1"/>
  <c r="BB32" i="1"/>
  <c r="AM32" i="1"/>
  <c r="AN32" i="1"/>
  <c r="BB31" i="1"/>
  <c r="AN31" i="1"/>
  <c r="BB30" i="1"/>
  <c r="AN30" i="1"/>
  <c r="S28" i="1"/>
  <c r="AN28" i="1"/>
  <c r="V28" i="1"/>
  <c r="AM28" i="1"/>
  <c r="BB28" i="1"/>
  <c r="BY60" i="1"/>
  <c r="BZ60" i="1"/>
  <c r="CD60" i="1" s="1"/>
  <c r="CE60" i="1" s="1"/>
  <c r="CA60" i="1"/>
  <c r="AB60" i="1"/>
  <c r="AC60" i="1" s="1"/>
  <c r="AI60" i="1"/>
  <c r="Y60" i="1"/>
  <c r="W60" i="1" s="1"/>
  <c r="Z60" i="1" s="1"/>
  <c r="T60" i="1" s="1"/>
  <c r="U60" i="1" s="1"/>
  <c r="BY59" i="1"/>
  <c r="BZ59" i="1"/>
  <c r="CD59" i="1" s="1"/>
  <c r="CE59" i="1" s="1"/>
  <c r="CA59" i="1"/>
  <c r="AB59" i="1"/>
  <c r="AC59" i="1" s="1"/>
  <c r="Y59" i="1"/>
  <c r="W59" i="1" s="1"/>
  <c r="Z59" i="1" s="1"/>
  <c r="T59" i="1" s="1"/>
  <c r="U59" i="1" s="1"/>
  <c r="AI59" i="1"/>
  <c r="BZ58" i="1"/>
  <c r="CD58" i="1" s="1"/>
  <c r="CE58" i="1" s="1"/>
  <c r="CA58" i="1"/>
  <c r="BY58" i="1"/>
  <c r="BB58" i="1"/>
  <c r="AN58" i="1"/>
  <c r="S58" i="1"/>
  <c r="V58" i="1"/>
  <c r="AM58" i="1"/>
  <c r="AB58" i="1"/>
  <c r="AC58" i="1" s="1"/>
  <c r="Y58" i="1" s="1"/>
  <c r="W58" i="1" s="1"/>
  <c r="Z58" i="1" s="1"/>
  <c r="T58" i="1" s="1"/>
  <c r="U58" i="1" s="1"/>
  <c r="AI58" i="1"/>
  <c r="BZ57" i="1"/>
  <c r="CD57" i="1" s="1"/>
  <c r="CE57" i="1" s="1"/>
  <c r="BY57" i="1"/>
  <c r="CA57" i="1"/>
  <c r="BB57" i="1"/>
  <c r="S57" i="1"/>
  <c r="V57" i="1"/>
  <c r="AM57" i="1"/>
  <c r="AN57" i="1"/>
  <c r="AI57" i="1"/>
  <c r="BZ56" i="1"/>
  <c r="CD56" i="1" s="1"/>
  <c r="CE56" i="1" s="1"/>
  <c r="BY56" i="1"/>
  <c r="CA56" i="1"/>
  <c r="BB56" i="1"/>
  <c r="V56" i="1"/>
  <c r="AM56" i="1"/>
  <c r="AN56" i="1"/>
  <c r="S56" i="1"/>
  <c r="AB56" i="1"/>
  <c r="AC56" i="1" s="1"/>
  <c r="Y56" i="1" s="1"/>
  <c r="W56" i="1" s="1"/>
  <c r="Z56" i="1" s="1"/>
  <c r="T56" i="1" s="1"/>
  <c r="U56" i="1" s="1"/>
  <c r="AI56" i="1"/>
  <c r="DO55" i="1"/>
  <c r="BP55" i="1" s="1"/>
  <c r="AA55" i="1"/>
  <c r="BY55" i="1"/>
  <c r="BZ55" i="1"/>
  <c r="CD55" i="1" s="1"/>
  <c r="CE55" i="1" s="1"/>
  <c r="CA55" i="1"/>
  <c r="AI55" i="1"/>
  <c r="BY54" i="1"/>
  <c r="BZ54" i="1"/>
  <c r="CD54" i="1" s="1"/>
  <c r="CE54" i="1" s="1"/>
  <c r="CA54" i="1"/>
  <c r="AB54" i="1"/>
  <c r="AC54" i="1" s="1"/>
  <c r="Y54" i="1" s="1"/>
  <c r="W54" i="1" s="1"/>
  <c r="Z54" i="1" s="1"/>
  <c r="T54" i="1" s="1"/>
  <c r="U54" i="1" s="1"/>
  <c r="AI54" i="1"/>
  <c r="BY53" i="1"/>
  <c r="BZ53" i="1"/>
  <c r="CD53" i="1" s="1"/>
  <c r="CE53" i="1" s="1"/>
  <c r="CA53" i="1"/>
  <c r="AB53" i="1"/>
  <c r="AC53" i="1" s="1"/>
  <c r="Y53" i="1" s="1"/>
  <c r="W53" i="1" s="1"/>
  <c r="Z53" i="1" s="1"/>
  <c r="T53" i="1" s="1"/>
  <c r="U53" i="1" s="1"/>
  <c r="AI53" i="1"/>
  <c r="BS53" i="1"/>
  <c r="BY52" i="1"/>
  <c r="CA52" i="1"/>
  <c r="BZ52" i="1"/>
  <c r="CD52" i="1" s="1"/>
  <c r="CE52" i="1" s="1"/>
  <c r="S52" i="1"/>
  <c r="V52" i="1"/>
  <c r="AN52" i="1"/>
  <c r="BB52" i="1"/>
  <c r="AM52" i="1"/>
  <c r="AB52" i="1"/>
  <c r="AC52" i="1" s="1"/>
  <c r="Y52" i="1" s="1"/>
  <c r="W52" i="1" s="1"/>
  <c r="Z52" i="1" s="1"/>
  <c r="T52" i="1" s="1"/>
  <c r="U52" i="1" s="1"/>
  <c r="AI52" i="1"/>
  <c r="BY51" i="1"/>
  <c r="BZ51" i="1"/>
  <c r="CD51" i="1" s="1"/>
  <c r="CE51" i="1" s="1"/>
  <c r="CA51" i="1"/>
  <c r="BB51" i="1"/>
  <c r="AM51" i="1"/>
  <c r="AN51" i="1"/>
  <c r="AB51" i="1"/>
  <c r="AC51" i="1" s="1"/>
  <c r="Y51" i="1" s="1"/>
  <c r="W51" i="1" s="1"/>
  <c r="Z51" i="1" s="1"/>
  <c r="T51" i="1" s="1"/>
  <c r="U51" i="1" s="1"/>
  <c r="AI51" i="1"/>
  <c r="CA50" i="1"/>
  <c r="BZ50" i="1"/>
  <c r="CD50" i="1" s="1"/>
  <c r="CE50" i="1" s="1"/>
  <c r="BY50" i="1"/>
  <c r="AM50" i="1"/>
  <c r="S50" i="1"/>
  <c r="V50" i="1"/>
  <c r="BB50" i="1"/>
  <c r="AN50" i="1"/>
  <c r="AB50" i="1"/>
  <c r="AC50" i="1" s="1"/>
  <c r="Y50" i="1" s="1"/>
  <c r="W50" i="1" s="1"/>
  <c r="Z50" i="1" s="1"/>
  <c r="T50" i="1" s="1"/>
  <c r="U50" i="1" s="1"/>
  <c r="AI50" i="1"/>
  <c r="BZ49" i="1"/>
  <c r="CD49" i="1" s="1"/>
  <c r="CE49" i="1" s="1"/>
  <c r="BY49" i="1"/>
  <c r="CA49" i="1"/>
  <c r="AB49" i="1"/>
  <c r="AC49" i="1" s="1"/>
  <c r="Y49" i="1" s="1"/>
  <c r="W49" i="1" s="1"/>
  <c r="Z49" i="1" s="1"/>
  <c r="T49" i="1" s="1"/>
  <c r="U49" i="1" s="1"/>
  <c r="AI49" i="1"/>
  <c r="BZ48" i="1"/>
  <c r="CD48" i="1" s="1"/>
  <c r="CE48" i="1" s="1"/>
  <c r="BY48" i="1"/>
  <c r="CA48" i="1"/>
  <c r="AI48" i="1"/>
  <c r="AB48" i="1"/>
  <c r="AC48" i="1" s="1"/>
  <c r="Y48" i="1" s="1"/>
  <c r="W48" i="1" s="1"/>
  <c r="Z48" i="1" s="1"/>
  <c r="T48" i="1" s="1"/>
  <c r="U48" i="1" s="1"/>
  <c r="BY47" i="1"/>
  <c r="BZ47" i="1"/>
  <c r="CD47" i="1" s="1"/>
  <c r="CE47" i="1" s="1"/>
  <c r="CA47" i="1"/>
  <c r="AB47" i="1"/>
  <c r="AC47" i="1" s="1"/>
  <c r="Y47" i="1" s="1"/>
  <c r="W47" i="1" s="1"/>
  <c r="Z47" i="1" s="1"/>
  <c r="T47" i="1" s="1"/>
  <c r="U47" i="1" s="1"/>
  <c r="AI47" i="1"/>
  <c r="BY46" i="1"/>
  <c r="BZ46" i="1"/>
  <c r="CD46" i="1" s="1"/>
  <c r="CE46" i="1" s="1"/>
  <c r="CA46" i="1"/>
  <c r="AB46" i="1"/>
  <c r="AC46" i="1" s="1"/>
  <c r="Y46" i="1"/>
  <c r="W46" i="1" s="1"/>
  <c r="Z46" i="1" s="1"/>
  <c r="AI46" i="1"/>
  <c r="BY45" i="1"/>
  <c r="BZ45" i="1"/>
  <c r="CD45" i="1" s="1"/>
  <c r="CE45" i="1" s="1"/>
  <c r="CA45" i="1"/>
  <c r="AB45" i="1"/>
  <c r="AC45" i="1" s="1"/>
  <c r="Y45" i="1"/>
  <c r="W45" i="1" s="1"/>
  <c r="Z45" i="1" s="1"/>
  <c r="AI45" i="1"/>
  <c r="BY44" i="1"/>
  <c r="BZ44" i="1"/>
  <c r="CD44" i="1" s="1"/>
  <c r="CE44" i="1" s="1"/>
  <c r="CA44" i="1"/>
  <c r="AI44" i="1"/>
  <c r="BY43" i="1"/>
  <c r="BZ43" i="1"/>
  <c r="CD43" i="1" s="1"/>
  <c r="CE43" i="1" s="1"/>
  <c r="CA43" i="1"/>
  <c r="BB43" i="1"/>
  <c r="S43" i="1"/>
  <c r="AI43" i="1"/>
  <c r="AB43" i="1"/>
  <c r="AC43" i="1" s="1"/>
  <c r="Y43" i="1" s="1"/>
  <c r="W43" i="1" s="1"/>
  <c r="Z43" i="1" s="1"/>
  <c r="T43" i="1" s="1"/>
  <c r="U43" i="1" s="1"/>
  <c r="BY42" i="1"/>
  <c r="BZ42" i="1"/>
  <c r="CD42" i="1" s="1"/>
  <c r="CE42" i="1" s="1"/>
  <c r="CA42" i="1"/>
  <c r="AB42" i="1"/>
  <c r="AC42" i="1" s="1"/>
  <c r="Y42" i="1" s="1"/>
  <c r="W42" i="1" s="1"/>
  <c r="Z42" i="1" s="1"/>
  <c r="T42" i="1" s="1"/>
  <c r="U42" i="1" s="1"/>
  <c r="AI42" i="1"/>
  <c r="BY41" i="1"/>
  <c r="BZ41" i="1"/>
  <c r="CD41" i="1" s="1"/>
  <c r="CE41" i="1" s="1"/>
  <c r="CA41" i="1"/>
  <c r="V41" i="1"/>
  <c r="AN41" i="1"/>
  <c r="BB41" i="1"/>
  <c r="S41" i="1"/>
  <c r="AM41" i="1"/>
  <c r="AB41" i="1"/>
  <c r="AC41" i="1" s="1"/>
  <c r="AI41" i="1"/>
  <c r="Y41" i="1"/>
  <c r="W41" i="1" s="1"/>
  <c r="Z41" i="1" s="1"/>
  <c r="CA40" i="1"/>
  <c r="BY40" i="1"/>
  <c r="BZ40" i="1"/>
  <c r="CD40" i="1" s="1"/>
  <c r="CE40" i="1" s="1"/>
  <c r="V40" i="1"/>
  <c r="AN40" i="1"/>
  <c r="AM40" i="1"/>
  <c r="BB40" i="1"/>
  <c r="S40" i="1"/>
  <c r="AB40" i="1"/>
  <c r="AC40" i="1" s="1"/>
  <c r="Y40" i="1" s="1"/>
  <c r="W40" i="1" s="1"/>
  <c r="Z40" i="1" s="1"/>
  <c r="T40" i="1" s="1"/>
  <c r="U40" i="1" s="1"/>
  <c r="AI40" i="1"/>
  <c r="CA39" i="1"/>
  <c r="BZ39" i="1"/>
  <c r="CD39" i="1" s="1"/>
  <c r="CE39" i="1" s="1"/>
  <c r="BY39" i="1"/>
  <c r="AB39" i="1"/>
  <c r="AC39" i="1" s="1"/>
  <c r="Y39" i="1" s="1"/>
  <c r="W39" i="1" s="1"/>
  <c r="Z39" i="1" s="1"/>
  <c r="AI39" i="1"/>
  <c r="BS39" i="1"/>
  <c r="BR39" i="1"/>
  <c r="BY38" i="1"/>
  <c r="BZ38" i="1"/>
  <c r="CD38" i="1" s="1"/>
  <c r="CE38" i="1" s="1"/>
  <c r="CA38" i="1"/>
  <c r="AB38" i="1"/>
  <c r="AC38" i="1" s="1"/>
  <c r="Y38" i="1" s="1"/>
  <c r="W38" i="1" s="1"/>
  <c r="Z38" i="1" s="1"/>
  <c r="T38" i="1" s="1"/>
  <c r="U38" i="1" s="1"/>
  <c r="AI38" i="1"/>
  <c r="BY37" i="1"/>
  <c r="BZ37" i="1"/>
  <c r="CD37" i="1" s="1"/>
  <c r="CE37" i="1" s="1"/>
  <c r="CA37" i="1"/>
  <c r="AB37" i="1"/>
  <c r="AC37" i="1" s="1"/>
  <c r="Y37" i="1" s="1"/>
  <c r="W37" i="1" s="1"/>
  <c r="Z37" i="1" s="1"/>
  <c r="T37" i="1" s="1"/>
  <c r="U37" i="1" s="1"/>
  <c r="AI37" i="1"/>
  <c r="AA36" i="1"/>
  <c r="DO36" i="1"/>
  <c r="BP36" i="1" s="1"/>
  <c r="BY36" i="1"/>
  <c r="BZ36" i="1"/>
  <c r="CD36" i="1" s="1"/>
  <c r="CE36" i="1" s="1"/>
  <c r="CA36" i="1"/>
  <c r="BB36" i="1"/>
  <c r="S36" i="1"/>
  <c r="V36" i="1"/>
  <c r="AI36" i="1"/>
  <c r="BY35" i="1"/>
  <c r="BZ35" i="1"/>
  <c r="CD35" i="1" s="1"/>
  <c r="CE35" i="1" s="1"/>
  <c r="CA35" i="1"/>
  <c r="AB35" i="1"/>
  <c r="AC35" i="1" s="1"/>
  <c r="AI35" i="1"/>
  <c r="Y35" i="1"/>
  <c r="W35" i="1" s="1"/>
  <c r="Z35" i="1" s="1"/>
  <c r="T35" i="1" s="1"/>
  <c r="U35" i="1" s="1"/>
  <c r="BY34" i="1"/>
  <c r="BZ34" i="1"/>
  <c r="CD34" i="1" s="1"/>
  <c r="CE34" i="1" s="1"/>
  <c r="CA34" i="1"/>
  <c r="AB34" i="1"/>
  <c r="AC34" i="1" s="1"/>
  <c r="AI34" i="1"/>
  <c r="Y34" i="1"/>
  <c r="W34" i="1" s="1"/>
  <c r="Z34" i="1" s="1"/>
  <c r="T34" i="1" s="1"/>
  <c r="U34" i="1" s="1"/>
  <c r="AA33" i="1"/>
  <c r="DO33" i="1"/>
  <c r="BP33" i="1" s="1"/>
  <c r="CA33" i="1"/>
  <c r="BY33" i="1"/>
  <c r="BZ33" i="1"/>
  <c r="CD33" i="1" s="1"/>
  <c r="CE33" i="1" s="1"/>
  <c r="BB33" i="1"/>
  <c r="S33" i="1"/>
  <c r="V33" i="1"/>
  <c r="AM33" i="1"/>
  <c r="AN33" i="1"/>
  <c r="AI33" i="1"/>
  <c r="BY32" i="1"/>
  <c r="BZ32" i="1"/>
  <c r="CD32" i="1" s="1"/>
  <c r="CE32" i="1" s="1"/>
  <c r="CA32" i="1"/>
  <c r="AB32" i="1"/>
  <c r="AC32" i="1" s="1"/>
  <c r="Y32" i="1" s="1"/>
  <c r="W32" i="1" s="1"/>
  <c r="Z32" i="1" s="1"/>
  <c r="T32" i="1" s="1"/>
  <c r="U32" i="1" s="1"/>
  <c r="AI32" i="1"/>
  <c r="BY31" i="1"/>
  <c r="BZ31" i="1"/>
  <c r="CD31" i="1" s="1"/>
  <c r="CE31" i="1" s="1"/>
  <c r="CA31" i="1"/>
  <c r="AB31" i="1"/>
  <c r="AC31" i="1" s="1"/>
  <c r="AI31" i="1"/>
  <c r="Y31" i="1"/>
  <c r="W31" i="1" s="1"/>
  <c r="Z31" i="1" s="1"/>
  <c r="T31" i="1" s="1"/>
  <c r="U31" i="1" s="1"/>
  <c r="DO30" i="1"/>
  <c r="BP30" i="1" s="1"/>
  <c r="AA30" i="1"/>
  <c r="BZ30" i="1"/>
  <c r="CD30" i="1" s="1"/>
  <c r="CE30" i="1" s="1"/>
  <c r="BY30" i="1"/>
  <c r="CA30" i="1"/>
  <c r="AI30" i="1"/>
  <c r="BY29" i="1"/>
  <c r="BZ29" i="1"/>
  <c r="CD29" i="1" s="1"/>
  <c r="CE29" i="1" s="1"/>
  <c r="CA29" i="1"/>
  <c r="BB29" i="1"/>
  <c r="S29" i="1"/>
  <c r="V29" i="1"/>
  <c r="AM29" i="1"/>
  <c r="AN29" i="1"/>
  <c r="AI29" i="1"/>
  <c r="AB29" i="1"/>
  <c r="AC29" i="1" s="1"/>
  <c r="Y29" i="1" s="1"/>
  <c r="W29" i="1" s="1"/>
  <c r="Z29" i="1" s="1"/>
  <c r="BY28" i="1"/>
  <c r="BZ28" i="1"/>
  <c r="CD28" i="1" s="1"/>
  <c r="CE28" i="1" s="1"/>
  <c r="CA28" i="1"/>
  <c r="AB28" i="1"/>
  <c r="AC28" i="1" s="1"/>
  <c r="Y28" i="1"/>
  <c r="W28" i="1" s="1"/>
  <c r="Z28" i="1" s="1"/>
  <c r="AI28" i="1"/>
  <c r="BY27" i="1"/>
  <c r="BZ27" i="1"/>
  <c r="CD27" i="1" s="1"/>
  <c r="CE27" i="1" s="1"/>
  <c r="CA27" i="1"/>
  <c r="AI27" i="1"/>
  <c r="BY26" i="1"/>
  <c r="BZ26" i="1"/>
  <c r="CD26" i="1" s="1"/>
  <c r="CE26" i="1" s="1"/>
  <c r="CA26" i="1"/>
  <c r="AB26" i="1"/>
  <c r="AC26" i="1" s="1"/>
  <c r="Y26" i="1"/>
  <c r="W26" i="1" s="1"/>
  <c r="Z26" i="1" s="1"/>
  <c r="T26" i="1" s="1"/>
  <c r="U26" i="1" s="1"/>
  <c r="AI26" i="1"/>
  <c r="AA25" i="1"/>
  <c r="DO25" i="1"/>
  <c r="BP25" i="1" s="1"/>
  <c r="BZ25" i="1"/>
  <c r="CD25" i="1" s="1"/>
  <c r="CE25" i="1" s="1"/>
  <c r="BY25" i="1"/>
  <c r="CA25" i="1"/>
  <c r="AN25" i="1"/>
  <c r="BB25" i="1"/>
  <c r="S25" i="1"/>
  <c r="V25" i="1"/>
  <c r="AM25" i="1"/>
  <c r="AI25" i="1"/>
  <c r="CA24" i="1"/>
  <c r="BY24" i="1"/>
  <c r="BZ24" i="1"/>
  <c r="CD24" i="1" s="1"/>
  <c r="CE24" i="1" s="1"/>
  <c r="S24" i="1"/>
  <c r="V24" i="1"/>
  <c r="AN24" i="1"/>
  <c r="AM24" i="1"/>
  <c r="BB24" i="1"/>
  <c r="AB24" i="1"/>
  <c r="AC24" i="1" s="1"/>
  <c r="Y24" i="1"/>
  <c r="W24" i="1" s="1"/>
  <c r="Z24" i="1" s="1"/>
  <c r="T24" i="1" s="1"/>
  <c r="U24" i="1" s="1"/>
  <c r="AI24" i="1"/>
  <c r="BZ23" i="1"/>
  <c r="CD23" i="1" s="1"/>
  <c r="CE23" i="1" s="1"/>
  <c r="BY23" i="1"/>
  <c r="CA23" i="1"/>
  <c r="AB23" i="1"/>
  <c r="AC23" i="1" s="1"/>
  <c r="Y23" i="1" s="1"/>
  <c r="W23" i="1" s="1"/>
  <c r="Z23" i="1" s="1"/>
  <c r="AI23" i="1"/>
  <c r="DO22" i="1"/>
  <c r="BP22" i="1" s="1"/>
  <c r="AA22" i="1"/>
  <c r="BZ22" i="1"/>
  <c r="CD22" i="1" s="1"/>
  <c r="CE22" i="1" s="1"/>
  <c r="BY22" i="1"/>
  <c r="CA22" i="1"/>
  <c r="BB22" i="1"/>
  <c r="AN22" i="1"/>
  <c r="AM22" i="1"/>
  <c r="V22" i="1"/>
  <c r="S22" i="1"/>
  <c r="AI22" i="1"/>
  <c r="BY21" i="1"/>
  <c r="BZ21" i="1"/>
  <c r="CD21" i="1" s="1"/>
  <c r="CE21" i="1" s="1"/>
  <c r="CA21" i="1"/>
  <c r="AB21" i="1"/>
  <c r="AC21" i="1" s="1"/>
  <c r="Y21" i="1"/>
  <c r="W21" i="1" s="1"/>
  <c r="Z21" i="1" s="1"/>
  <c r="T21" i="1" s="1"/>
  <c r="U21" i="1" s="1"/>
  <c r="AI21" i="1"/>
  <c r="BY20" i="1"/>
  <c r="BZ20" i="1"/>
  <c r="CD20" i="1" s="1"/>
  <c r="CE20" i="1" s="1"/>
  <c r="CA20" i="1"/>
  <c r="AB20" i="1"/>
  <c r="AC20" i="1" s="1"/>
  <c r="AI20" i="1"/>
  <c r="Y20" i="1"/>
  <c r="W20" i="1" s="1"/>
  <c r="Z20" i="1" s="1"/>
  <c r="T20" i="1" s="1"/>
  <c r="U20" i="1" s="1"/>
  <c r="DO19" i="1"/>
  <c r="BP19" i="1" s="1"/>
  <c r="AA19" i="1"/>
  <c r="BY19" i="1"/>
  <c r="BZ19" i="1"/>
  <c r="CD19" i="1" s="1"/>
  <c r="CE19" i="1" s="1"/>
  <c r="CA19" i="1"/>
  <c r="AI19" i="1"/>
  <c r="BY18" i="1"/>
  <c r="BZ18" i="1"/>
  <c r="CD18" i="1" s="1"/>
  <c r="CE18" i="1" s="1"/>
  <c r="CA18" i="1"/>
  <c r="AB18" i="1"/>
  <c r="AC18" i="1" s="1"/>
  <c r="AI18" i="1"/>
  <c r="Y18" i="1"/>
  <c r="W18" i="1" s="1"/>
  <c r="Z18" i="1" s="1"/>
  <c r="T18" i="1" s="1"/>
  <c r="U18" i="1" s="1"/>
  <c r="BY17" i="1"/>
  <c r="BZ17" i="1"/>
  <c r="CD17" i="1" s="1"/>
  <c r="CE17" i="1" s="1"/>
  <c r="CA17" i="1"/>
  <c r="AB17" i="1"/>
  <c r="AC17" i="1" s="1"/>
  <c r="Y17" i="1" s="1"/>
  <c r="W17" i="1" s="1"/>
  <c r="Z17" i="1" s="1"/>
  <c r="T17" i="1" s="1"/>
  <c r="U17" i="1" s="1"/>
  <c r="AI17" i="1"/>
  <c r="BR18" i="1"/>
  <c r="BS41" i="1" l="1"/>
  <c r="BR41" i="1"/>
  <c r="BS27" i="1"/>
  <c r="BR27" i="1"/>
  <c r="T39" i="1"/>
  <c r="U39" i="1" s="1"/>
  <c r="T23" i="1"/>
  <c r="U23" i="1" s="1"/>
  <c r="AJ57" i="1"/>
  <c r="AK57" i="1"/>
  <c r="AD57" i="1"/>
  <c r="AH57" i="1" s="1"/>
  <c r="Y57" i="1"/>
  <c r="W57" i="1" s="1"/>
  <c r="Z57" i="1" s="1"/>
  <c r="T57" i="1" s="1"/>
  <c r="U57" i="1" s="1"/>
  <c r="BS46" i="1"/>
  <c r="BR46" i="1"/>
  <c r="BS47" i="1"/>
  <c r="BR47" i="1"/>
  <c r="BS32" i="1"/>
  <c r="BR32" i="1"/>
  <c r="BS31" i="1"/>
  <c r="BR31" i="1"/>
  <c r="BS44" i="1"/>
  <c r="BR44" i="1"/>
  <c r="AL57" i="1"/>
  <c r="T46" i="1"/>
  <c r="U46" i="1" s="1"/>
  <c r="T45" i="1"/>
  <c r="U45" i="1" s="1"/>
  <c r="T41" i="1"/>
  <c r="U41" i="1" s="1"/>
  <c r="T29" i="1"/>
  <c r="U29" i="1" s="1"/>
  <c r="T28" i="1"/>
  <c r="U28" i="1" s="1"/>
  <c r="AJ60" i="1"/>
  <c r="AK60" i="1"/>
  <c r="AL60" i="1" s="1"/>
  <c r="AD60" i="1"/>
  <c r="AH60" i="1" s="1"/>
  <c r="AJ59" i="1"/>
  <c r="AK59" i="1"/>
  <c r="AL59" i="1" s="1"/>
  <c r="AD59" i="1"/>
  <c r="AH59" i="1" s="1"/>
  <c r="AJ58" i="1"/>
  <c r="AD58" i="1"/>
  <c r="AH58" i="1" s="1"/>
  <c r="AK58" i="1"/>
  <c r="AL58" i="1" s="1"/>
  <c r="AJ56" i="1"/>
  <c r="AD56" i="1"/>
  <c r="AH56" i="1" s="1"/>
  <c r="AK56" i="1"/>
  <c r="AL56" i="1" s="1"/>
  <c r="BS55" i="1"/>
  <c r="BR55" i="1"/>
  <c r="AB55" i="1"/>
  <c r="AC55" i="1" s="1"/>
  <c r="AJ54" i="1"/>
  <c r="AD54" i="1"/>
  <c r="AH54" i="1" s="1"/>
  <c r="AK54" i="1"/>
  <c r="AL54" i="1" s="1"/>
  <c r="AJ53" i="1"/>
  <c r="AD53" i="1"/>
  <c r="AH53" i="1" s="1"/>
  <c r="AK53" i="1"/>
  <c r="AL53" i="1" s="1"/>
  <c r="AJ52" i="1"/>
  <c r="AD52" i="1"/>
  <c r="AH52" i="1" s="1"/>
  <c r="AK52" i="1"/>
  <c r="AL52" i="1" s="1"/>
  <c r="AJ51" i="1"/>
  <c r="AD51" i="1"/>
  <c r="AH51" i="1" s="1"/>
  <c r="AK51" i="1"/>
  <c r="AL51" i="1" s="1"/>
  <c r="AJ50" i="1"/>
  <c r="AD50" i="1"/>
  <c r="AH50" i="1" s="1"/>
  <c r="AK50" i="1"/>
  <c r="AL50" i="1" s="1"/>
  <c r="AJ49" i="1"/>
  <c r="AD49" i="1"/>
  <c r="AH49" i="1" s="1"/>
  <c r="AK49" i="1"/>
  <c r="AL49" i="1" s="1"/>
  <c r="AJ48" i="1"/>
  <c r="AD48" i="1"/>
  <c r="AH48" i="1" s="1"/>
  <c r="AK48" i="1"/>
  <c r="AL48" i="1" s="1"/>
  <c r="AJ47" i="1"/>
  <c r="AD47" i="1"/>
  <c r="AH47" i="1" s="1"/>
  <c r="AK47" i="1"/>
  <c r="AL47" i="1" s="1"/>
  <c r="AJ46" i="1"/>
  <c r="AD46" i="1"/>
  <c r="AH46" i="1" s="1"/>
  <c r="AK46" i="1"/>
  <c r="AJ45" i="1"/>
  <c r="AD45" i="1"/>
  <c r="AH45" i="1" s="1"/>
  <c r="AK45" i="1"/>
  <c r="AL45" i="1" s="1"/>
  <c r="AJ44" i="1"/>
  <c r="AD44" i="1"/>
  <c r="AH44" i="1" s="1"/>
  <c r="AK44" i="1"/>
  <c r="AL44" i="1" s="1"/>
  <c r="AJ43" i="1"/>
  <c r="AD43" i="1"/>
  <c r="AH43" i="1" s="1"/>
  <c r="AK43" i="1"/>
  <c r="AL43" i="1" s="1"/>
  <c r="AJ42" i="1"/>
  <c r="AD42" i="1"/>
  <c r="AH42" i="1" s="1"/>
  <c r="AK42" i="1"/>
  <c r="AJ41" i="1"/>
  <c r="AD41" i="1"/>
  <c r="AH41" i="1" s="1"/>
  <c r="AK41" i="1"/>
  <c r="AL41" i="1" s="1"/>
  <c r="AJ40" i="1"/>
  <c r="AD40" i="1"/>
  <c r="AH40" i="1" s="1"/>
  <c r="AK40" i="1"/>
  <c r="AL40" i="1" s="1"/>
  <c r="AJ39" i="1"/>
  <c r="AD39" i="1"/>
  <c r="AH39" i="1" s="1"/>
  <c r="AK39" i="1"/>
  <c r="AL39" i="1" s="1"/>
  <c r="AJ38" i="1"/>
  <c r="AD38" i="1"/>
  <c r="AH38" i="1" s="1"/>
  <c r="AK38" i="1"/>
  <c r="AL38" i="1" s="1"/>
  <c r="AJ37" i="1"/>
  <c r="AD37" i="1"/>
  <c r="AH37" i="1" s="1"/>
  <c r="AK37" i="1"/>
  <c r="AL37" i="1" s="1"/>
  <c r="AB36" i="1"/>
  <c r="AC36" i="1" s="1"/>
  <c r="BS36" i="1"/>
  <c r="BR36" i="1"/>
  <c r="AJ35" i="1"/>
  <c r="AD35" i="1"/>
  <c r="AH35" i="1" s="1"/>
  <c r="AK35" i="1"/>
  <c r="AL35" i="1" s="1"/>
  <c r="AJ34" i="1"/>
  <c r="AD34" i="1"/>
  <c r="AH34" i="1" s="1"/>
  <c r="AK34" i="1"/>
  <c r="AL34" i="1" s="1"/>
  <c r="AB33" i="1"/>
  <c r="AC33" i="1" s="1"/>
  <c r="BS33" i="1"/>
  <c r="BR33" i="1"/>
  <c r="AJ32" i="1"/>
  <c r="AD32" i="1"/>
  <c r="AH32" i="1" s="1"/>
  <c r="AK32" i="1"/>
  <c r="AL32" i="1" s="1"/>
  <c r="AJ31" i="1"/>
  <c r="AD31" i="1"/>
  <c r="AH31" i="1" s="1"/>
  <c r="AK31" i="1"/>
  <c r="AL31" i="1" s="1"/>
  <c r="BS30" i="1"/>
  <c r="BR30" i="1"/>
  <c r="AB30" i="1"/>
  <c r="AC30" i="1" s="1"/>
  <c r="AJ29" i="1"/>
  <c r="AD29" i="1"/>
  <c r="AH29" i="1" s="1"/>
  <c r="AK29" i="1"/>
  <c r="AJ28" i="1"/>
  <c r="AD28" i="1"/>
  <c r="AH28" i="1" s="1"/>
  <c r="AK28" i="1"/>
  <c r="AL28" i="1" s="1"/>
  <c r="AJ27" i="1"/>
  <c r="AD27" i="1"/>
  <c r="AH27" i="1" s="1"/>
  <c r="AK27" i="1"/>
  <c r="AL27" i="1" s="1"/>
  <c r="AJ26" i="1"/>
  <c r="AD26" i="1"/>
  <c r="AH26" i="1" s="1"/>
  <c r="AK26" i="1"/>
  <c r="AL26" i="1" s="1"/>
  <c r="AB25" i="1"/>
  <c r="AC25" i="1" s="1"/>
  <c r="BS25" i="1"/>
  <c r="BR25" i="1"/>
  <c r="AJ24" i="1"/>
  <c r="AK24" i="1"/>
  <c r="AL24" i="1" s="1"/>
  <c r="AD24" i="1"/>
  <c r="AH24" i="1" s="1"/>
  <c r="AJ23" i="1"/>
  <c r="AK23" i="1"/>
  <c r="AL23" i="1" s="1"/>
  <c r="AD23" i="1"/>
  <c r="AH23" i="1" s="1"/>
  <c r="BS22" i="1"/>
  <c r="BR22" i="1"/>
  <c r="AB22" i="1"/>
  <c r="AC22" i="1" s="1"/>
  <c r="AJ21" i="1"/>
  <c r="AD21" i="1"/>
  <c r="AH21" i="1" s="1"/>
  <c r="AK21" i="1"/>
  <c r="AL21" i="1" s="1"/>
  <c r="AJ20" i="1"/>
  <c r="AD20" i="1"/>
  <c r="AH20" i="1" s="1"/>
  <c r="AK20" i="1"/>
  <c r="AL20" i="1" s="1"/>
  <c r="BS19" i="1"/>
  <c r="BR19" i="1"/>
  <c r="AB19" i="1"/>
  <c r="AC19" i="1" s="1"/>
  <c r="AJ18" i="1"/>
  <c r="AD18" i="1"/>
  <c r="AH18" i="1" s="1"/>
  <c r="AK18" i="1"/>
  <c r="AL18" i="1" s="1"/>
  <c r="AJ17" i="1"/>
  <c r="AD17" i="1"/>
  <c r="AH17" i="1" s="1"/>
  <c r="AK17" i="1"/>
  <c r="AL17" i="1" s="1"/>
  <c r="AL29" i="1" l="1"/>
  <c r="AL42" i="1"/>
  <c r="AL46" i="1"/>
  <c r="Y55" i="1"/>
  <c r="W55" i="1" s="1"/>
  <c r="Z55" i="1" s="1"/>
  <c r="T55" i="1" s="1"/>
  <c r="U55" i="1" s="1"/>
  <c r="AJ55" i="1"/>
  <c r="AD55" i="1"/>
  <c r="AH55" i="1" s="1"/>
  <c r="AK55" i="1"/>
  <c r="AL55" i="1" s="1"/>
  <c r="Y36" i="1"/>
  <c r="W36" i="1" s="1"/>
  <c r="Z36" i="1" s="1"/>
  <c r="T36" i="1" s="1"/>
  <c r="U36" i="1" s="1"/>
  <c r="AD36" i="1"/>
  <c r="AH36" i="1" s="1"/>
  <c r="AJ36" i="1"/>
  <c r="AK36" i="1"/>
  <c r="AL36" i="1" s="1"/>
  <c r="Y33" i="1"/>
  <c r="W33" i="1" s="1"/>
  <c r="Z33" i="1" s="1"/>
  <c r="T33" i="1" s="1"/>
  <c r="U33" i="1" s="1"/>
  <c r="AJ33" i="1"/>
  <c r="AD33" i="1"/>
  <c r="AH33" i="1" s="1"/>
  <c r="AK33" i="1"/>
  <c r="AL33" i="1" s="1"/>
  <c r="Y30" i="1"/>
  <c r="W30" i="1" s="1"/>
  <c r="Z30" i="1" s="1"/>
  <c r="T30" i="1" s="1"/>
  <c r="U30" i="1" s="1"/>
  <c r="AJ30" i="1"/>
  <c r="AD30" i="1"/>
  <c r="AH30" i="1" s="1"/>
  <c r="AK30" i="1"/>
  <c r="AL30" i="1" s="1"/>
  <c r="Y25" i="1"/>
  <c r="W25" i="1" s="1"/>
  <c r="Z25" i="1" s="1"/>
  <c r="T25" i="1" s="1"/>
  <c r="U25" i="1" s="1"/>
  <c r="AD25" i="1"/>
  <c r="AH25" i="1" s="1"/>
  <c r="AJ25" i="1"/>
  <c r="AK25" i="1"/>
  <c r="AL25" i="1" s="1"/>
  <c r="Y22" i="1"/>
  <c r="W22" i="1" s="1"/>
  <c r="Z22" i="1" s="1"/>
  <c r="T22" i="1" s="1"/>
  <c r="U22" i="1" s="1"/>
  <c r="AJ22" i="1"/>
  <c r="AD22" i="1"/>
  <c r="AH22" i="1" s="1"/>
  <c r="AK22" i="1"/>
  <c r="AL22" i="1" s="1"/>
  <c r="Y19" i="1"/>
  <c r="W19" i="1" s="1"/>
  <c r="Z19" i="1" s="1"/>
  <c r="T19" i="1" s="1"/>
  <c r="U19" i="1" s="1"/>
  <c r="AJ19" i="1"/>
  <c r="AD19" i="1"/>
  <c r="AH19" i="1" s="1"/>
  <c r="AK19" i="1"/>
  <c r="AL19" i="1" s="1"/>
</calcChain>
</file>

<file path=xl/sharedStrings.xml><?xml version="1.0" encoding="utf-8"?>
<sst xmlns="http://schemas.openxmlformats.org/spreadsheetml/2006/main" count="1812" uniqueCount="539">
  <si>
    <t>File opened</t>
  </si>
  <si>
    <t>2026-03-03 06:54:16</t>
  </si>
  <si>
    <t>Console s/n</t>
  </si>
  <si>
    <t>68C-373300</t>
  </si>
  <si>
    <t>Console ver</t>
  </si>
  <si>
    <t>Bluestem v.2.1.11</t>
  </si>
  <si>
    <t>Scripts ver</t>
  </si>
  <si>
    <t>2023.02  2.1.11, Jun 2023</t>
  </si>
  <si>
    <t>Head s/n</t>
  </si>
  <si>
    <t>68H-413288</t>
  </si>
  <si>
    <t>Head ver</t>
  </si>
  <si>
    <t>1.4.23</t>
  </si>
  <si>
    <t>Head cal</t>
  </si>
  <si>
    <t>{"oxygen": "21", "co2azero": "1.05735", "co2aspan1": "1.0014", "co2aspan2": "-0.0247976", "co2aspan2a": "0.302151", "co2aspan2b": "0.30031", "co2aspanconc1": "2520", "co2aspanconc2": "297.6", "co2bzero": "1.05369", "co2bspan1": "1.00135", "co2bspan2": "-0.0255652", "co2bspan2a": "0.301211", "co2bspan2b": "0.299296", "co2bspanconc1": "2520", "co2bspanconc2": "297.6", "h2oazero": "1.09954", "h2oaspan1": "1.00625", "h2oaspan2": "0", "h2oaspan2a": "0.065888", "h2oaspan2b": "0.0662996", "h2oaspanconc1": "11.69", "h2oaspanconc2": "0", "h2obzero": "1.08171", "h2obspan1": "1.00238", "h2obspan2": "0", "h2obspan2a": "0.0653019", "h2obspan2b": "0.0654575", "h2obspanconc1": "11.69", "h2obspanconc2": "0", "tazero": "0.0864773", "tbzero": "0.252188", "flowmeterzero": "2.4979", "flowazero": "0.359", "flowbzero": "0.3511", "chamberpressurezero": "2.64373", "ssa_ref": "32963.2", "ssb_ref": "33083.7"}</t>
  </si>
  <si>
    <t>Factory cal date</t>
  </si>
  <si>
    <t>09 Feb 2024</t>
  </si>
  <si>
    <t>CO2 rangematch</t>
  </si>
  <si>
    <t>Thu Aug 21 08:01</t>
  </si>
  <si>
    <t>H2O rangematch</t>
  </si>
  <si>
    <t>Thu Aug 21 08:10</t>
  </si>
  <si>
    <t>Chamber type</t>
  </si>
  <si>
    <t>6800-01A</t>
  </si>
  <si>
    <t>Chamber s/n</t>
  </si>
  <si>
    <t>MPF-842157</t>
  </si>
  <si>
    <t>Chamber rev</t>
  </si>
  <si>
    <t>0</t>
  </si>
  <si>
    <t>Chamber cal</t>
  </si>
  <si>
    <t>Fluorometer</t>
  </si>
  <si>
    <t>Flr. Version</t>
  </si>
  <si>
    <t>1.4.22</t>
  </si>
  <si>
    <t>06:54:16</t>
  </si>
  <si>
    <t>Stability Definition:	A (GasEx): Slp&lt;0.7 Std&lt;0.2 Per=20	gsw (GasEx): Slp&lt;0.05 Std&lt;0.05 Per=20</t>
  </si>
  <si>
    <t>SysConst</t>
  </si>
  <si>
    <t>AvgTime</t>
  </si>
  <si>
    <t>5</t>
  </si>
  <si>
    <t>Oxygen</t>
  </si>
  <si>
    <t>ChambConst</t>
  </si>
  <si>
    <t>Chamber</t>
  </si>
  <si>
    <t>Aperture</t>
  </si>
  <si>
    <t>6 cm²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</si>
  <si>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</si>
  <si>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</si>
  <si>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</si>
  <si>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</si>
  <si>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</si>
  <si>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</si>
  <si>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</si>
  <si>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</si>
  <si>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</si>
  <si>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</si>
  <si>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</si>
  <si>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</si>
  <si>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</si>
  <si>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</si>
  <si>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</si>
  <si>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</si>
  <si>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</si>
  <si>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</si>
  <si>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</si>
  <si>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</si>
  <si>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</si>
  <si>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</si>
  <si>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</si>
  <si>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</si>
  <si>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</si>
  <si>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</si>
  <si>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</si>
  <si>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</si>
  <si>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</si>
  <si>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</si>
  <si>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</si>
  <si>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</si>
  <si>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</si>
  <si>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</si>
  <si>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</si>
  <si>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</si>
  <si>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</si>
  <si>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</si>
  <si>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</si>
  <si>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</si>
  <si>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</si>
  <si>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</si>
  <si>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</si>
  <si>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</si>
  <si>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-0.196952 187.811 338.37 551.855 819.284 1030.05 1219.04 1365.72</t>
  </si>
  <si>
    <t>Fs_true</t>
  </si>
  <si>
    <t>-0.212198 221.308 385.195 585.002 808.764 1001.96 1201.22 1400.81</t>
  </si>
  <si>
    <t>leak_wt</t>
  </si>
  <si>
    <t>SysObs</t>
  </si>
  <si>
    <t>UserDefCon</t>
  </si>
  <si>
    <t>GasEx</t>
  </si>
  <si>
    <t>Dynamic</t>
  </si>
  <si>
    <t>Leak</t>
  </si>
  <si>
    <t>FLR</t>
  </si>
  <si>
    <t>MPF</t>
  </si>
  <si>
    <t>FastKntcs</t>
  </si>
  <si>
    <t>LeafQ</t>
  </si>
  <si>
    <t>Const</t>
  </si>
  <si>
    <t>Meas</t>
  </si>
  <si>
    <t>Meas2</t>
  </si>
  <si>
    <t>FlrLS</t>
  </si>
  <si>
    <t>FlrStats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</si>
  <si>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</si>
  <si>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</si>
  <si>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</si>
  <si>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</si>
  <si>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</si>
  <si>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</si>
  <si>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</si>
  <si>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</si>
  <si>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</si>
  <si>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</si>
  <si>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</si>
  <si>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</si>
  <si>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</si>
  <si>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</si>
  <si>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li6800</t>
  </si>
  <si>
    <t>block</t>
  </si>
  <si>
    <t>row</t>
  </si>
  <si>
    <t>plant</t>
  </si>
  <si>
    <t>rep</t>
  </si>
  <si>
    <t>notes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</si>
  <si>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</si>
  <si>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</si>
  <si>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</si>
  <si>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</si>
  <si>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</si>
  <si>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</si>
  <si>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</si>
  <si>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</si>
  <si>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</si>
  <si>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</si>
  <si>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</si>
  <si>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</si>
  <si>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</si>
  <si>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</si>
  <si>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</si>
  <si>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</si>
  <si>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</si>
  <si>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</si>
  <si>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</si>
  <si>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</si>
  <si>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</si>
  <si>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</si>
  <si>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</si>
  <si>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</si>
  <si>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Asty</t>
  </si>
  <si>
    <t>Esty</t>
  </si>
  <si>
    <t>Adyn</t>
  </si>
  <si>
    <t>Crd</t>
  </si>
  <si>
    <t>Csd</t>
  </si>
  <si>
    <t>dCsd/dt</t>
  </si>
  <si>
    <t>αVc</t>
  </si>
  <si>
    <t>Edyn</t>
  </si>
  <si>
    <t>Hr</t>
  </si>
  <si>
    <t>Hs</t>
  </si>
  <si>
    <t>dHs/dt</t>
  </si>
  <si>
    <t>αVh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</si>
  <si>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</si>
  <si>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</si>
  <si>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</si>
  <si>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</si>
  <si>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</si>
  <si>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</si>
  <si>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</si>
  <si>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</si>
  <si>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</si>
  <si>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</si>
  <si>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</si>
  <si>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</si>
  <si>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</si>
  <si>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</si>
  <si>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</si>
  <si>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</si>
  <si>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</si>
  <si>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</si>
  <si>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</si>
  <si>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</si>
  <si>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</si>
  <si>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</si>
  <si>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</si>
  <si>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</si>
  <si>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</si>
  <si>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</si>
  <si>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</si>
  <si>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</si>
  <si>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</si>
  <si>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</si>
  <si>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</si>
  <si>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</si>
  <si>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</si>
  <si>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</si>
  <si>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P1_Fmax</t>
  </si>
  <si>
    <t>T@P1_Fmax</t>
  </si>
  <si>
    <t>Q@P1_Fmax</t>
  </si>
  <si>
    <t>P1_PredF</t>
  </si>
  <si>
    <t>P1_ΔF</t>
  </si>
  <si>
    <t>P2_dur</t>
  </si>
  <si>
    <t>P2_ramp</t>
  </si>
  <si>
    <t>P2_int</t>
  </si>
  <si>
    <t>P2_int_se</t>
  </si>
  <si>
    <t>P2_slp</t>
  </si>
  <si>
    <t>P2_slp_se</t>
  </si>
  <si>
    <t>P2_R2</t>
  </si>
  <si>
    <t>P2_dQdt</t>
  </si>
  <si>
    <t>P3_dur</t>
  </si>
  <si>
    <t>P3_Fmax</t>
  </si>
  <si>
    <t>T@P3_Fmax</t>
  </si>
  <si>
    <t>Q@P3_Fmax</t>
  </si>
  <si>
    <t>P3_PredF</t>
  </si>
  <si>
    <t>P3_ΔF</t>
  </si>
  <si>
    <t>Dur</t>
  </si>
  <si>
    <t>DCo</t>
  </si>
  <si>
    <t>InitSlope</t>
  </si>
  <si>
    <t>F1</t>
  </si>
  <si>
    <t>T@F1</t>
  </si>
  <si>
    <t>T@HIR</t>
  </si>
  <si>
    <t>F2</t>
  </si>
  <si>
    <t>T@F2</t>
  </si>
  <si>
    <t>DCmax</t>
  </si>
  <si>
    <t>T@DCmax</t>
  </si>
  <si>
    <t>PhiPS2_dc</t>
  </si>
  <si>
    <t>Qin</t>
  </si>
  <si>
    <t>Qabs</t>
  </si>
  <si>
    <t>alpha</t>
  </si>
  <si>
    <t>convert</t>
  </si>
  <si>
    <t>S</t>
  </si>
  <si>
    <t>K</t>
  </si>
  <si>
    <t>Geometry</t>
  </si>
  <si>
    <t>Custom</t>
  </si>
  <si>
    <t>UseDynamic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</si>
  <si>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</si>
  <si>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</si>
  <si>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</si>
  <si>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</si>
  <si>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</si>
  <si>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</si>
  <si>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</si>
  <si>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</si>
  <si>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</si>
  <si>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</si>
  <si>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</si>
  <si>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</si>
  <si>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</si>
  <si>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</si>
  <si>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</si>
  <si>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</si>
  <si>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</si>
  <si>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</si>
  <si>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</si>
  <si>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</si>
  <si>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</si>
  <si>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</si>
  <si>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</si>
  <si>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</si>
  <si>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</si>
  <si>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</si>
  <si>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</si>
  <si>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</si>
  <si>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</si>
  <si>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</si>
  <si>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</si>
  <si>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</si>
  <si>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</si>
  <si>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</si>
  <si>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</si>
  <si>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</si>
  <si>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</si>
  <si>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</si>
  <si>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</si>
  <si>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</si>
  <si>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</si>
  <si>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</si>
  <si>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</si>
  <si>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</si>
  <si>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</si>
  <si>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</si>
  <si>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</si>
  <si>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</si>
  <si>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</si>
  <si>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</si>
  <si>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</si>
  <si>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</si>
  <si>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</si>
  <si>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</si>
  <si>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</si>
  <si>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</si>
  <si>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</si>
  <si>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</si>
  <si>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</si>
  <si>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</si>
  <si>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</si>
  <si>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A:MN</t>
  </si>
  <si>
    <t>A:SLP</t>
  </si>
  <si>
    <t>A:SD</t>
  </si>
  <si>
    <t>A:OK</t>
  </si>
  <si>
    <t>gsw:MN</t>
  </si>
  <si>
    <t>gsw:SLP</t>
  </si>
  <si>
    <t>gsw:SD</t>
  </si>
  <si>
    <t>gsw:OK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</si>
  <si>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</si>
  <si>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</si>
  <si>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</si>
  <si>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</si>
  <si>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</si>
  <si>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</si>
  <si>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</si>
  <si>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</si>
  <si>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</si>
  <si>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</si>
  <si>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</si>
  <si>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</si>
  <si>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</si>
  <si>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</si>
  <si>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</si>
  <si>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</si>
  <si>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</si>
  <si>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</si>
  <si>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</si>
  <si>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</si>
  <si>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</si>
  <si>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</si>
  <si>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</si>
  <si>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</si>
  <si>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</si>
  <si>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</si>
  <si>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</si>
  <si>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</si>
  <si>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</si>
  <si>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</si>
  <si>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</si>
  <si>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</si>
  <si>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</si>
  <si>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</si>
  <si>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</si>
  <si>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</si>
  <si>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</si>
  <si>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</si>
  <si>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</si>
  <si>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</si>
  <si>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</si>
  <si>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</si>
  <si>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</si>
  <si>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</si>
  <si>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</si>
  <si>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</si>
  <si>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</si>
  <si>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</si>
  <si>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</si>
  <si>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</si>
  <si>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</si>
  <si>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</si>
  <si>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</si>
  <si>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</si>
  <si>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</si>
  <si>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</si>
  <si>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</si>
  <si>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</si>
  <si>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</si>
  <si>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</si>
  <si>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</si>
  <si>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</si>
  <si>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</si>
  <si>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</si>
  <si>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</si>
  <si>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</si>
  <si>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</si>
  <si>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</si>
  <si>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</si>
  <si>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</si>
  <si>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</si>
  <si>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</si>
  <si>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</si>
  <si>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</si>
  <si>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</si>
  <si>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</si>
  <si>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</si>
  <si>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</si>
  <si>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</si>
  <si>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</si>
  <si>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</si>
  <si>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</si>
  <si>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</si>
  <si>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</si>
  <si>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</si>
  <si>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</si>
  <si>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</si>
  <si>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</si>
  <si>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</si>
  <si>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</si>
  <si>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</si>
  <si>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</si>
  <si>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</si>
  <si>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</si>
  <si>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</si>
  <si>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</si>
  <si>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</si>
  <si>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</si>
  <si>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</si>
  <si>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</si>
  <si>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</si>
  <si>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</si>
  <si>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</si>
  <si>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</si>
  <si>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</si>
  <si>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</si>
  <si>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</si>
  <si>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</si>
  <si>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</si>
  <si>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</si>
  <si>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mol⁻¹ s⁻¹</t>
  </si>
  <si>
    <t>cm³</t>
  </si>
  <si>
    <t>mmol mol⁻¹</t>
  </si>
  <si>
    <t>mmol mol⁻¹ s⁻¹</t>
  </si>
  <si>
    <t>µmol s⁻¹</t>
  </si>
  <si>
    <t>µmol µmol⁻¹</t>
  </si>
  <si>
    <t>ms</t>
  </si>
  <si>
    <t>centimol m⁻² s⁻¹</t>
  </si>
  <si>
    <t>mol m⁻² s⁻²</t>
  </si>
  <si>
    <t>s⁻¹</t>
  </si>
  <si>
    <t>J/µmol</t>
  </si>
  <si>
    <t>cm²</t>
  </si>
  <si>
    <t>rpm</t>
  </si>
  <si>
    <t>min⁻¹</t>
  </si>
  <si>
    <t>secs</t>
  </si>
  <si>
    <t>µmol/mol</t>
  </si>
  <si>
    <t>mmol/mol</t>
  </si>
  <si>
    <t>µmol m⁻² s⁻¹ min⁻¹</t>
  </si>
  <si>
    <t>mol m⁻² s⁻¹ min⁻¹</t>
  </si>
  <si>
    <t>V</t>
  </si>
  <si>
    <t>mV</t>
  </si>
  <si>
    <t>mg</t>
  </si>
  <si>
    <t>hrs</t>
  </si>
  <si>
    <t>min</t>
  </si>
  <si>
    <t>20240213 07:08:47</t>
  </si>
  <si>
    <t>07:08:47</t>
  </si>
  <si>
    <t>none</t>
  </si>
  <si>
    <t>cabbi</t>
  </si>
  <si>
    <t>1</t>
  </si>
  <si>
    <t>-</t>
  </si>
  <si>
    <t>0: Broadleaf</t>
  </si>
  <si>
    <t>--:--:--</t>
  </si>
  <si>
    <t>0/2</t>
  </si>
  <si>
    <t>11111111</t>
  </si>
  <si>
    <t>oooooooo</t>
  </si>
  <si>
    <t>on</t>
  </si>
  <si>
    <t>20240213 07:15:19</t>
  </si>
  <si>
    <t>07:15:19</t>
  </si>
  <si>
    <t>20240213 07:16:36</t>
  </si>
  <si>
    <t>07:16:36</t>
  </si>
  <si>
    <t>20240213 07:19:47</t>
  </si>
  <si>
    <t>07:19:47</t>
  </si>
  <si>
    <t>20240213 07:22:39</t>
  </si>
  <si>
    <t>07:22:39</t>
  </si>
  <si>
    <t>20240213 07:26:27</t>
  </si>
  <si>
    <t>07:26:27</t>
  </si>
  <si>
    <t>20240213 07:33:18</t>
  </si>
  <si>
    <t>07:33:18</t>
  </si>
  <si>
    <t>20240213 07:38:11</t>
  </si>
  <si>
    <t>07:38:11</t>
  </si>
  <si>
    <t>1/2</t>
  </si>
  <si>
    <t>20240213 07:41:42</t>
  </si>
  <si>
    <t>07:41:42</t>
  </si>
  <si>
    <t>20240213 07:45:46</t>
  </si>
  <si>
    <t>07:45:46</t>
  </si>
  <si>
    <t>20240213 07:49:04</t>
  </si>
  <si>
    <t>07:49:04</t>
  </si>
  <si>
    <t>20240213 07:54:51</t>
  </si>
  <si>
    <t>07:54:51</t>
  </si>
  <si>
    <t>20240213 07:59:13</t>
  </si>
  <si>
    <t>07:59:13</t>
  </si>
  <si>
    <t>20240213 08:07:02</t>
  </si>
  <si>
    <t>08:07:02</t>
  </si>
  <si>
    <t>20240213 08:15:31</t>
  </si>
  <si>
    <t>08:15:31</t>
  </si>
  <si>
    <t>20240213 08:25:26</t>
  </si>
  <si>
    <t>08:25:26</t>
  </si>
  <si>
    <t>20240213 08:29:06</t>
  </si>
  <si>
    <t>08:29:06</t>
  </si>
  <si>
    <t>20240213 08:36:09</t>
  </si>
  <si>
    <t>08:36:09</t>
  </si>
  <si>
    <t>20240213 08:45:05</t>
  </si>
  <si>
    <t>08:45:05</t>
  </si>
  <si>
    <t>20240213 08:51:39</t>
  </si>
  <si>
    <t>08:51:39</t>
  </si>
  <si>
    <t>20240213 09:01:31</t>
  </si>
  <si>
    <t>09:01:31</t>
  </si>
  <si>
    <t>08:59:00</t>
  </si>
  <si>
    <t>20240213 09:12:23</t>
  </si>
  <si>
    <t>09:12:23</t>
  </si>
  <si>
    <t>20240213 12:04:21</t>
  </si>
  <si>
    <t>12:04:21</t>
  </si>
  <si>
    <t>20240213 12:07:36</t>
  </si>
  <si>
    <t>12:07:36</t>
  </si>
  <si>
    <t>20240213 12:10:07</t>
  </si>
  <si>
    <t>12:10:07</t>
  </si>
  <si>
    <t>20240213 12:14:07</t>
  </si>
  <si>
    <t>12:14:07</t>
  </si>
  <si>
    <t>20240213 12:18:14</t>
  </si>
  <si>
    <t>12:18:14</t>
  </si>
  <si>
    <t>20240213 12:23:46</t>
  </si>
  <si>
    <t>12:23:46</t>
  </si>
  <si>
    <t>20240213 12:27:15</t>
  </si>
  <si>
    <t>12:27:15</t>
  </si>
  <si>
    <t>20240213 12:35:40</t>
  </si>
  <si>
    <t>12:35:40</t>
  </si>
  <si>
    <t>20240213 12:39:31</t>
  </si>
  <si>
    <t>12:39:31</t>
  </si>
  <si>
    <t>20240213 12:47:38</t>
  </si>
  <si>
    <t>12:47:38</t>
  </si>
  <si>
    <t>20240213 13:04:20</t>
  </si>
  <si>
    <t>13:04:20</t>
  </si>
  <si>
    <t>2/2</t>
  </si>
  <si>
    <t>20240213 13:07:41</t>
  </si>
  <si>
    <t>13:07:41</t>
  </si>
  <si>
    <t>20240213 13:10:52</t>
  </si>
  <si>
    <t>13:10:52</t>
  </si>
  <si>
    <t>20240213 13:13:34</t>
  </si>
  <si>
    <t>13:13:34</t>
  </si>
  <si>
    <t>20240213 14:02:38</t>
  </si>
  <si>
    <t>14:02:38</t>
  </si>
  <si>
    <t>20240213 14:04:52</t>
  </si>
  <si>
    <t>14:04:52</t>
  </si>
  <si>
    <t>20240213 14:06:57</t>
  </si>
  <si>
    <t>14:06:57</t>
  </si>
  <si>
    <t>20240213 14:09:25</t>
  </si>
  <si>
    <t>14:09:25</t>
  </si>
  <si>
    <t>20240213 14:12:31</t>
  </si>
  <si>
    <t>14:12:31</t>
  </si>
  <si>
    <t>20240213 14:13:56</t>
  </si>
  <si>
    <t>14:13:56</t>
  </si>
  <si>
    <t>20240213 14:15:32</t>
  </si>
  <si>
    <t>14:15:32</t>
  </si>
  <si>
    <t>20240213 14:16:43</t>
  </si>
  <si>
    <t>14:16:43</t>
  </si>
  <si>
    <t>leaf_lk</t>
  </si>
  <si>
    <t>lightdark</t>
  </si>
  <si>
    <t>D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</si>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</sst>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M60"/>
  <sheetViews>
    <sheetView tabSelected="1" workbookViewId="0">
      <selection activeCell="B25" sqref="B25"/>
    </sheetView>
  </sheetViews>
  <sheetFormatPr baseColWidth="10" defaultColWidth="8.83203125" defaultRowHeight="15" x14ac:dyDescent="0.2"/>
  <sheetData>
    <row r="2" spans="1:299" x14ac:dyDescent="0.2">
      <c r="C2" t="s">
        <v>32</v>
      </c>
      <c r="D2" t="s">
        <v>33</v>
      </c>
      <c r="E2" t="s">
        <v>35</v>
      </c>
    </row>
    <row r="3" spans="1:299" x14ac:dyDescent="0.2">
      <c r="D3" t="s">
        <v>34</v>
      </c>
      <c r="E3">
        <v>21</v>
      </c>
    </row>
    <row r="4" spans="1:299" x14ac:dyDescent="0.2">
      <c r="C4" t="s">
        <v>36</v>
      </c>
      <c r="D4" t="s">
        <v>37</v>
      </c>
      <c r="E4" t="s">
        <v>38</v>
      </c>
      <c r="F4" t="s">
        <v>40</v>
      </c>
      <c r="G4" t="s">
        <v>41</v>
      </c>
      <c r="H4" t="s">
        <v>42</v>
      </c>
      <c r="I4" t="s">
        <v>43</v>
      </c>
      <c r="J4" t="s">
        <v>44</v>
      </c>
      <c r="K4" t="s">
        <v>45</v>
      </c>
      <c r="L4" t="s">
        <v>46</v>
      </c>
      <c r="M4" t="s">
        <v>47</v>
      </c>
    </row>
    <row r="5" spans="1:299" x14ac:dyDescent="0.2">
      <c r="D5" t="s">
        <v>21</v>
      </c>
      <c r="E5" t="s">
        <v>39</v>
      </c>
      <c r="F5">
        <v>0.57799999999999996</v>
      </c>
      <c r="G5">
        <v>0.52297389999999999</v>
      </c>
      <c r="H5">
        <v>3.7402519999999999E-3</v>
      </c>
      <c r="I5">
        <v>-6.1979609999999997E-2</v>
      </c>
      <c r="J5">
        <v>-5.6085859999999996E-3</v>
      </c>
      <c r="K5">
        <v>1</v>
      </c>
      <c r="L5">
        <v>6</v>
      </c>
      <c r="M5">
        <v>96.9</v>
      </c>
    </row>
    <row r="6" spans="1:299" x14ac:dyDescent="0.2">
      <c r="C6" t="s">
        <v>48</v>
      </c>
      <c r="D6" t="s">
        <v>49</v>
      </c>
      <c r="E6" t="s">
        <v>50</v>
      </c>
      <c r="F6" t="s">
        <v>51</v>
      </c>
      <c r="G6" t="s">
        <v>52</v>
      </c>
    </row>
    <row r="7" spans="1:299" x14ac:dyDescent="0.2">
      <c r="D7">
        <v>0</v>
      </c>
      <c r="E7">
        <v>1</v>
      </c>
      <c r="F7">
        <v>0</v>
      </c>
      <c r="G7">
        <v>0</v>
      </c>
    </row>
    <row r="8" spans="1:299" x14ac:dyDescent="0.2">
      <c r="C8" t="s">
        <v>53</v>
      </c>
      <c r="D8" t="s">
        <v>54</v>
      </c>
      <c r="E8" t="s">
        <v>56</v>
      </c>
      <c r="F8" t="s">
        <v>58</v>
      </c>
      <c r="G8" t="s">
        <v>59</v>
      </c>
      <c r="H8" t="s">
        <v>60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s">
        <v>66</v>
      </c>
      <c r="O8" t="s">
        <v>67</v>
      </c>
      <c r="P8" t="s">
        <v>68</v>
      </c>
      <c r="Q8" t="s">
        <v>69</v>
      </c>
      <c r="R8" t="s">
        <v>70</v>
      </c>
      <c r="S8" t="s">
        <v>71</v>
      </c>
    </row>
    <row r="9" spans="1:299" x14ac:dyDescent="0.2">
      <c r="D9" t="s">
        <v>55</v>
      </c>
      <c r="E9" t="s">
        <v>57</v>
      </c>
      <c r="F9">
        <v>0.8</v>
      </c>
      <c r="G9">
        <v>0.84</v>
      </c>
      <c r="H9">
        <v>0.7</v>
      </c>
      <c r="I9">
        <v>0.87</v>
      </c>
      <c r="J9">
        <v>0.75</v>
      </c>
      <c r="K9">
        <v>0.84</v>
      </c>
      <c r="L9">
        <v>0.87</v>
      </c>
      <c r="M9">
        <v>0.39</v>
      </c>
      <c r="N9">
        <v>0.18</v>
      </c>
      <c r="O9">
        <v>0.23</v>
      </c>
      <c r="P9">
        <v>0.26</v>
      </c>
      <c r="Q9">
        <v>0.21</v>
      </c>
      <c r="R9">
        <v>0.19</v>
      </c>
      <c r="S9">
        <v>0.25</v>
      </c>
    </row>
    <row r="10" spans="1:299" x14ac:dyDescent="0.2">
      <c r="C10" t="s">
        <v>72</v>
      </c>
      <c r="D10" t="s">
        <v>73</v>
      </c>
      <c r="E10" t="s">
        <v>74</v>
      </c>
      <c r="F10" t="s">
        <v>75</v>
      </c>
      <c r="G10" t="s">
        <v>76</v>
      </c>
      <c r="H10" t="s">
        <v>77</v>
      </c>
    </row>
    <row r="11" spans="1:299" x14ac:dyDescent="0.2">
      <c r="D11">
        <v>0</v>
      </c>
      <c r="E11">
        <v>0</v>
      </c>
      <c r="F11">
        <v>0</v>
      </c>
      <c r="G11">
        <v>0</v>
      </c>
      <c r="H11">
        <v>1</v>
      </c>
    </row>
    <row r="12" spans="1:299" x14ac:dyDescent="0.2">
      <c r="C12" t="s">
        <v>78</v>
      </c>
      <c r="D12" t="s">
        <v>79</v>
      </c>
      <c r="E12" t="s">
        <v>80</v>
      </c>
      <c r="F12" t="s">
        <v>81</v>
      </c>
      <c r="G12" t="s">
        <v>82</v>
      </c>
      <c r="H12" t="s">
        <v>83</v>
      </c>
      <c r="I12" t="s">
        <v>85</v>
      </c>
      <c r="J12" t="s">
        <v>87</v>
      </c>
    </row>
    <row r="13" spans="1:299" x14ac:dyDescent="0.2">
      <c r="D13">
        <v>-6276</v>
      </c>
      <c r="E13">
        <v>6.6</v>
      </c>
      <c r="F13">
        <v>1.7090000000000001E-5</v>
      </c>
      <c r="G13">
        <v>3.11</v>
      </c>
      <c r="H13" t="s">
        <v>84</v>
      </c>
      <c r="I13" t="s">
        <v>86</v>
      </c>
      <c r="J13">
        <v>0</v>
      </c>
    </row>
    <row r="14" spans="1:299" x14ac:dyDescent="0.2">
      <c r="C14" t="s">
        <v>88</v>
      </c>
      <c r="D14" t="s">
        <v>88</v>
      </c>
      <c r="E14" t="s">
        <v>88</v>
      </c>
      <c r="F14" t="s">
        <v>88</v>
      </c>
      <c r="G14" t="s">
        <v>88</v>
      </c>
      <c r="H14" t="s">
        <v>88</v>
      </c>
      <c r="I14" t="s">
        <v>89</v>
      </c>
      <c r="J14" t="s">
        <v>89</v>
      </c>
      <c r="K14" t="s">
        <v>89</v>
      </c>
      <c r="L14" t="s">
        <v>89</v>
      </c>
      <c r="M14" t="s">
        <v>89</v>
      </c>
      <c r="N14" t="s">
        <v>89</v>
      </c>
      <c r="O14" t="s">
        <v>90</v>
      </c>
      <c r="P14" t="s">
        <v>90</v>
      </c>
      <c r="Q14" t="s">
        <v>90</v>
      </c>
      <c r="R14" t="s">
        <v>90</v>
      </c>
      <c r="S14" t="s">
        <v>90</v>
      </c>
      <c r="T14" t="s">
        <v>90</v>
      </c>
      <c r="U14" t="s">
        <v>90</v>
      </c>
      <c r="V14" t="s">
        <v>90</v>
      </c>
      <c r="W14" t="s">
        <v>90</v>
      </c>
      <c r="X14" t="s">
        <v>90</v>
      </c>
      <c r="Y14" t="s">
        <v>90</v>
      </c>
      <c r="Z14" t="s">
        <v>90</v>
      </c>
      <c r="AA14" t="s">
        <v>90</v>
      </c>
      <c r="AB14" t="s">
        <v>90</v>
      </c>
      <c r="AC14" t="s">
        <v>90</v>
      </c>
      <c r="AD14" t="s">
        <v>90</v>
      </c>
      <c r="AE14" t="s">
        <v>90</v>
      </c>
      <c r="AF14" t="s">
        <v>90</v>
      </c>
      <c r="AG14" t="s">
        <v>90</v>
      </c>
      <c r="AH14" t="s">
        <v>90</v>
      </c>
      <c r="AI14" t="s">
        <v>90</v>
      </c>
      <c r="AJ14" t="s">
        <v>90</v>
      </c>
      <c r="AK14" t="s">
        <v>90</v>
      </c>
      <c r="AL14" t="s">
        <v>90</v>
      </c>
      <c r="AM14" t="s">
        <v>90</v>
      </c>
      <c r="AN14" t="s">
        <v>90</v>
      </c>
      <c r="AO14" t="s">
        <v>91</v>
      </c>
      <c r="AP14" t="s">
        <v>91</v>
      </c>
      <c r="AQ14" t="s">
        <v>91</v>
      </c>
      <c r="AR14" t="s">
        <v>91</v>
      </c>
      <c r="AS14" t="s">
        <v>91</v>
      </c>
      <c r="AT14" t="s">
        <v>91</v>
      </c>
      <c r="AU14" t="s">
        <v>91</v>
      </c>
      <c r="AV14" t="s">
        <v>91</v>
      </c>
      <c r="AW14" t="s">
        <v>91</v>
      </c>
      <c r="AX14" t="s">
        <v>91</v>
      </c>
      <c r="AY14" t="s">
        <v>92</v>
      </c>
      <c r="AZ14" t="s">
        <v>92</v>
      </c>
      <c r="BA14" t="s">
        <v>92</v>
      </c>
      <c r="BB14" t="s">
        <v>92</v>
      </c>
      <c r="BC14" t="s">
        <v>92</v>
      </c>
      <c r="BD14" t="s">
        <v>93</v>
      </c>
      <c r="BE14" t="s">
        <v>93</v>
      </c>
      <c r="BF14" t="s">
        <v>93</v>
      </c>
      <c r="BG14" t="s">
        <v>93</v>
      </c>
      <c r="BH14" t="s">
        <v>93</v>
      </c>
      <c r="BI14" t="s">
        <v>93</v>
      </c>
      <c r="BJ14" t="s">
        <v>93</v>
      </c>
      <c r="BK14" t="s">
        <v>93</v>
      </c>
      <c r="BL14" t="s">
        <v>93</v>
      </c>
      <c r="BM14" t="s">
        <v>93</v>
      </c>
      <c r="BN14" t="s">
        <v>93</v>
      </c>
      <c r="BO14" t="s">
        <v>93</v>
      </c>
      <c r="BP14" t="s">
        <v>93</v>
      </c>
      <c r="BQ14" t="s">
        <v>93</v>
      </c>
      <c r="BR14" t="s">
        <v>93</v>
      </c>
      <c r="BS14" t="s">
        <v>93</v>
      </c>
      <c r="BT14" t="s">
        <v>93</v>
      </c>
      <c r="BU14" t="s">
        <v>93</v>
      </c>
      <c r="BV14" t="s">
        <v>93</v>
      </c>
      <c r="BW14" t="s">
        <v>93</v>
      </c>
      <c r="BX14" t="s">
        <v>93</v>
      </c>
      <c r="BY14" t="s">
        <v>93</v>
      </c>
      <c r="BZ14" t="s">
        <v>93</v>
      </c>
      <c r="CA14" t="s">
        <v>93</v>
      </c>
      <c r="CB14" t="s">
        <v>93</v>
      </c>
      <c r="CC14" t="s">
        <v>93</v>
      </c>
      <c r="CD14" t="s">
        <v>93</v>
      </c>
      <c r="CE14" t="s">
        <v>93</v>
      </c>
      <c r="CF14" t="s">
        <v>94</v>
      </c>
      <c r="CG14" t="s">
        <v>94</v>
      </c>
      <c r="CH14" t="s">
        <v>94</v>
      </c>
      <c r="CI14" t="s">
        <v>94</v>
      </c>
      <c r="CJ14" t="s">
        <v>94</v>
      </c>
      <c r="CK14" t="s">
        <v>94</v>
      </c>
      <c r="CL14" t="s">
        <v>94</v>
      </c>
      <c r="CM14" t="s">
        <v>94</v>
      </c>
      <c r="CN14" t="s">
        <v>94</v>
      </c>
      <c r="CO14" t="s">
        <v>94</v>
      </c>
      <c r="CP14" t="s">
        <v>94</v>
      </c>
      <c r="CQ14" t="s">
        <v>94</v>
      </c>
      <c r="CR14" t="s">
        <v>94</v>
      </c>
      <c r="CS14" t="s">
        <v>94</v>
      </c>
      <c r="CT14" t="s">
        <v>94</v>
      </c>
      <c r="CU14" t="s">
        <v>94</v>
      </c>
      <c r="CV14" t="s">
        <v>94</v>
      </c>
      <c r="CW14" t="s">
        <v>94</v>
      </c>
      <c r="CX14" t="s">
        <v>94</v>
      </c>
      <c r="CY14" t="s">
        <v>94</v>
      </c>
      <c r="CZ14" t="s">
        <v>94</v>
      </c>
      <c r="DA14" t="s">
        <v>95</v>
      </c>
      <c r="DB14" t="s">
        <v>95</v>
      </c>
      <c r="DC14" t="s">
        <v>95</v>
      </c>
      <c r="DD14" t="s">
        <v>95</v>
      </c>
      <c r="DE14" t="s">
        <v>95</v>
      </c>
      <c r="DF14" t="s">
        <v>95</v>
      </c>
      <c r="DG14" t="s">
        <v>95</v>
      </c>
      <c r="DH14" t="s">
        <v>95</v>
      </c>
      <c r="DI14" t="s">
        <v>95</v>
      </c>
      <c r="DJ14" t="s">
        <v>95</v>
      </c>
      <c r="DK14" t="s">
        <v>95</v>
      </c>
      <c r="DL14" t="s">
        <v>95</v>
      </c>
      <c r="DM14" t="s">
        <v>95</v>
      </c>
      <c r="DN14" t="s">
        <v>96</v>
      </c>
      <c r="DO14" t="s">
        <v>96</v>
      </c>
      <c r="DP14" t="s">
        <v>96</v>
      </c>
      <c r="DQ14" t="s">
        <v>96</v>
      </c>
      <c r="DR14" t="s">
        <v>97</v>
      </c>
      <c r="DS14" t="s">
        <v>97</v>
      </c>
      <c r="DT14" t="s">
        <v>97</v>
      </c>
      <c r="DU14" t="s">
        <v>97</v>
      </c>
      <c r="DV14" t="s">
        <v>97</v>
      </c>
      <c r="DW14" t="s">
        <v>98</v>
      </c>
      <c r="DX14" t="s">
        <v>98</v>
      </c>
      <c r="DY14" t="s">
        <v>98</v>
      </c>
      <c r="DZ14" t="s">
        <v>98</v>
      </c>
      <c r="EA14" t="s">
        <v>98</v>
      </c>
      <c r="EB14" t="s">
        <v>98</v>
      </c>
      <c r="EC14" t="s">
        <v>98</v>
      </c>
      <c r="ED14" t="s">
        <v>98</v>
      </c>
      <c r="EE14" t="s">
        <v>98</v>
      </c>
      <c r="EF14" t="s">
        <v>98</v>
      </c>
      <c r="EG14" t="s">
        <v>98</v>
      </c>
      <c r="EH14" t="s">
        <v>98</v>
      </c>
      <c r="EI14" t="s">
        <v>98</v>
      </c>
      <c r="EJ14" t="s">
        <v>98</v>
      </c>
      <c r="EK14" t="s">
        <v>98</v>
      </c>
      <c r="EL14" t="s">
        <v>98</v>
      </c>
      <c r="EM14" t="s">
        <v>98</v>
      </c>
      <c r="EN14" t="s">
        <v>98</v>
      </c>
      <c r="EO14" t="s">
        <v>99</v>
      </c>
      <c r="EP14" t="s">
        <v>99</v>
      </c>
      <c r="EQ14" t="s">
        <v>99</v>
      </c>
      <c r="ER14" t="s">
        <v>99</v>
      </c>
      <c r="ES14" t="s">
        <v>99</v>
      </c>
      <c r="ET14" t="s">
        <v>99</v>
      </c>
      <c r="EU14" t="s">
        <v>99</v>
      </c>
      <c r="EV14" t="s">
        <v>99</v>
      </c>
      <c r="EW14" t="s">
        <v>99</v>
      </c>
      <c r="EX14" t="s">
        <v>99</v>
      </c>
      <c r="EY14" t="s">
        <v>100</v>
      </c>
      <c r="EZ14" t="s">
        <v>100</v>
      </c>
      <c r="FA14" t="s">
        <v>100</v>
      </c>
      <c r="FB14" t="s">
        <v>100</v>
      </c>
      <c r="FC14" t="s">
        <v>100</v>
      </c>
      <c r="FD14" t="s">
        <v>100</v>
      </c>
      <c r="FE14" t="s">
        <v>100</v>
      </c>
      <c r="FF14" t="s">
        <v>100</v>
      </c>
      <c r="FG14" t="s">
        <v>100</v>
      </c>
      <c r="FH14" t="s">
        <v>100</v>
      </c>
      <c r="FI14" t="s">
        <v>100</v>
      </c>
      <c r="FJ14" t="s">
        <v>100</v>
      </c>
      <c r="FK14" t="s">
        <v>100</v>
      </c>
      <c r="FL14" t="s">
        <v>100</v>
      </c>
      <c r="FM14" t="s">
        <v>100</v>
      </c>
      <c r="FN14" t="s">
        <v>100</v>
      </c>
      <c r="FO14" t="s">
        <v>100</v>
      </c>
      <c r="FP14" t="s">
        <v>100</v>
      </c>
      <c r="FQ14" t="s">
        <v>101</v>
      </c>
      <c r="FR14" t="s">
        <v>101</v>
      </c>
      <c r="FS14" t="s">
        <v>101</v>
      </c>
      <c r="FT14" t="s">
        <v>101</v>
      </c>
      <c r="FU14" t="s">
        <v>101</v>
      </c>
      <c r="FV14" t="s">
        <v>102</v>
      </c>
      <c r="FW14" t="s">
        <v>102</v>
      </c>
      <c r="FX14" t="s">
        <v>102</v>
      </c>
      <c r="FY14" t="s">
        <v>102</v>
      </c>
      <c r="FZ14" t="s">
        <v>102</v>
      </c>
      <c r="GA14" t="s">
        <v>102</v>
      </c>
      <c r="GB14" t="s">
        <v>102</v>
      </c>
      <c r="GC14" t="s">
        <v>102</v>
      </c>
      <c r="GD14" t="s">
        <v>102</v>
      </c>
      <c r="GE14" t="s">
        <v>102</v>
      </c>
      <c r="GF14" t="s">
        <v>102</v>
      </c>
      <c r="GG14" t="s">
        <v>102</v>
      </c>
      <c r="GH14" t="s">
        <v>102</v>
      </c>
      <c r="GI14" t="s">
        <v>103</v>
      </c>
      <c r="GJ14" t="s">
        <v>103</v>
      </c>
      <c r="GK14" t="s">
        <v>103</v>
      </c>
      <c r="GL14" t="s">
        <v>103</v>
      </c>
      <c r="GM14" t="s">
        <v>103</v>
      </c>
      <c r="GN14" t="s">
        <v>103</v>
      </c>
      <c r="GO14" t="s">
        <v>103</v>
      </c>
      <c r="GP14" t="s">
        <v>103</v>
      </c>
      <c r="GQ14" t="s">
        <v>103</v>
      </c>
      <c r="GR14" t="s">
        <v>103</v>
      </c>
      <c r="GS14" t="s">
        <v>103</v>
      </c>
      <c r="GT14" t="s">
        <v>104</v>
      </c>
      <c r="GU14" t="s">
        <v>104</v>
      </c>
      <c r="GV14" t="s">
        <v>104</v>
      </c>
      <c r="GW14" t="s">
        <v>104</v>
      </c>
      <c r="GX14" t="s">
        <v>104</v>
      </c>
      <c r="GY14" t="s">
        <v>104</v>
      </c>
      <c r="GZ14" t="s">
        <v>104</v>
      </c>
      <c r="HA14" t="s">
        <v>104</v>
      </c>
      <c r="HB14" t="s">
        <v>104</v>
      </c>
      <c r="HC14" t="s">
        <v>104</v>
      </c>
      <c r="HD14" t="s">
        <v>104</v>
      </c>
      <c r="HE14" t="s">
        <v>104</v>
      </c>
      <c r="HF14" t="s">
        <v>104</v>
      </c>
      <c r="HG14" t="s">
        <v>104</v>
      </c>
      <c r="HH14" t="s">
        <v>104</v>
      </c>
      <c r="HI14" t="s">
        <v>104</v>
      </c>
      <c r="HJ14" t="s">
        <v>104</v>
      </c>
      <c r="HK14" t="s">
        <v>104</v>
      </c>
      <c r="HL14" t="s">
        <v>105</v>
      </c>
      <c r="HM14" t="s">
        <v>105</v>
      </c>
      <c r="HN14" t="s">
        <v>105</v>
      </c>
      <c r="HO14" t="s">
        <v>105</v>
      </c>
      <c r="HP14" t="s">
        <v>105</v>
      </c>
      <c r="HQ14" t="s">
        <v>105</v>
      </c>
      <c r="HR14" t="s">
        <v>105</v>
      </c>
      <c r="HS14" t="s">
        <v>105</v>
      </c>
      <c r="HT14" t="s">
        <v>105</v>
      </c>
      <c r="HU14" t="s">
        <v>105</v>
      </c>
      <c r="HV14" t="s">
        <v>105</v>
      </c>
      <c r="HW14" t="s">
        <v>105</v>
      </c>
      <c r="HX14" t="s">
        <v>105</v>
      </c>
      <c r="HY14" t="s">
        <v>105</v>
      </c>
      <c r="HZ14" t="s">
        <v>105</v>
      </c>
      <c r="IA14" t="s">
        <v>105</v>
      </c>
      <c r="IB14" t="s">
        <v>105</v>
      </c>
      <c r="IC14" t="s">
        <v>105</v>
      </c>
      <c r="ID14" t="s">
        <v>105</v>
      </c>
      <c r="IE14" t="s">
        <v>106</v>
      </c>
      <c r="IF14" t="s">
        <v>106</v>
      </c>
      <c r="IG14" t="s">
        <v>106</v>
      </c>
      <c r="IH14" t="s">
        <v>106</v>
      </c>
      <c r="II14" t="s">
        <v>106</v>
      </c>
      <c r="IJ14" t="s">
        <v>106</v>
      </c>
      <c r="IK14" t="s">
        <v>106</v>
      </c>
      <c r="IL14" t="s">
        <v>106</v>
      </c>
      <c r="IM14" t="s">
        <v>106</v>
      </c>
      <c r="IN14" t="s">
        <v>106</v>
      </c>
      <c r="IO14" t="s">
        <v>106</v>
      </c>
      <c r="IP14" t="s">
        <v>106</v>
      </c>
      <c r="IQ14" t="s">
        <v>106</v>
      </c>
      <c r="IR14" t="s">
        <v>106</v>
      </c>
      <c r="IS14" t="s">
        <v>106</v>
      </c>
      <c r="IT14" t="s">
        <v>106</v>
      </c>
      <c r="IU14" t="s">
        <v>106</v>
      </c>
      <c r="IV14" t="s">
        <v>106</v>
      </c>
      <c r="IW14" t="s">
        <v>106</v>
      </c>
      <c r="IX14" t="s">
        <v>107</v>
      </c>
      <c r="IY14" t="s">
        <v>107</v>
      </c>
      <c r="IZ14" t="s">
        <v>107</v>
      </c>
      <c r="JA14" t="s">
        <v>107</v>
      </c>
      <c r="JB14" t="s">
        <v>107</v>
      </c>
      <c r="JC14" t="s">
        <v>107</v>
      </c>
      <c r="JD14" t="s">
        <v>107</v>
      </c>
      <c r="JE14" t="s">
        <v>107</v>
      </c>
      <c r="JF14" t="s">
        <v>107</v>
      </c>
      <c r="JG14" t="s">
        <v>107</v>
      </c>
      <c r="JH14" t="s">
        <v>107</v>
      </c>
      <c r="JI14" t="s">
        <v>107</v>
      </c>
      <c r="JJ14" t="s">
        <v>107</v>
      </c>
      <c r="JK14" t="s">
        <v>107</v>
      </c>
      <c r="JL14" t="s">
        <v>107</v>
      </c>
      <c r="JM14" t="s">
        <v>107</v>
      </c>
      <c r="JN14" t="s">
        <v>107</v>
      </c>
      <c r="JO14" t="s">
        <v>107</v>
      </c>
      <c r="JP14" t="s">
        <v>108</v>
      </c>
      <c r="JQ14" t="s">
        <v>108</v>
      </c>
      <c r="JR14" t="s">
        <v>108</v>
      </c>
      <c r="JS14" t="s">
        <v>108</v>
      </c>
      <c r="JT14" t="s">
        <v>108</v>
      </c>
      <c r="JU14" t="s">
        <v>108</v>
      </c>
      <c r="JV14" t="s">
        <v>108</v>
      </c>
      <c r="JW14" t="s">
        <v>108</v>
      </c>
      <c r="JX14" t="s">
        <v>109</v>
      </c>
      <c r="JY14" t="s">
        <v>109</v>
      </c>
      <c r="JZ14" t="s">
        <v>109</v>
      </c>
      <c r="KA14" t="s">
        <v>109</v>
      </c>
      <c r="KB14" t="s">
        <v>109</v>
      </c>
      <c r="KC14" t="s">
        <v>109</v>
      </c>
      <c r="KD14" t="s">
        <v>109</v>
      </c>
      <c r="KE14" t="s">
        <v>109</v>
      </c>
      <c r="KF14" t="s">
        <v>109</v>
      </c>
      <c r="KG14" t="s">
        <v>109</v>
      </c>
      <c r="KH14" t="s">
        <v>109</v>
      </c>
      <c r="KI14" t="s">
        <v>109</v>
      </c>
      <c r="KJ14" t="s">
        <v>109</v>
      </c>
      <c r="KK14" t="s">
        <v>109</v>
      </c>
      <c r="KL14" t="s">
        <v>109</v>
      </c>
      <c r="KM14" t="s">
        <v>109</v>
      </c>
    </row>
    <row r="15" spans="1:299" x14ac:dyDescent="0.2">
      <c r="A15" t="s">
        <v>535</v>
      </c>
      <c r="B15" t="s">
        <v>536</v>
      </c>
      <c r="C15" t="s">
        <v>110</v>
      </c>
      <c r="D15" t="s">
        <v>111</v>
      </c>
      <c r="E15" t="s">
        <v>112</v>
      </c>
      <c r="F15" t="s">
        <v>113</v>
      </c>
      <c r="G15" t="s">
        <v>114</v>
      </c>
      <c r="H15" t="s">
        <v>115</v>
      </c>
      <c r="I15" t="s">
        <v>116</v>
      </c>
      <c r="J15" t="s">
        <v>117</v>
      </c>
      <c r="K15" t="s">
        <v>118</v>
      </c>
      <c r="L15" t="s">
        <v>119</v>
      </c>
      <c r="M15" t="s">
        <v>120</v>
      </c>
      <c r="N15" t="s">
        <v>121</v>
      </c>
      <c r="O15" t="s">
        <v>122</v>
      </c>
      <c r="P15" t="s">
        <v>123</v>
      </c>
      <c r="Q15" t="s">
        <v>124</v>
      </c>
      <c r="R15" t="s">
        <v>125</v>
      </c>
      <c r="S15" t="s">
        <v>126</v>
      </c>
      <c r="T15" t="s">
        <v>127</v>
      </c>
      <c r="U15" t="s">
        <v>128</v>
      </c>
      <c r="V15" t="s">
        <v>129</v>
      </c>
      <c r="W15" t="s">
        <v>130</v>
      </c>
      <c r="X15" t="s">
        <v>131</v>
      </c>
      <c r="Y15" t="s">
        <v>132</v>
      </c>
      <c r="Z15" t="s">
        <v>133</v>
      </c>
      <c r="AA15" t="s">
        <v>134</v>
      </c>
      <c r="AB15" t="s">
        <v>135</v>
      </c>
      <c r="AC15" t="s">
        <v>136</v>
      </c>
      <c r="AD15" t="s">
        <v>137</v>
      </c>
      <c r="AE15" t="s">
        <v>138</v>
      </c>
      <c r="AF15" t="s">
        <v>139</v>
      </c>
      <c r="AG15" t="s">
        <v>140</v>
      </c>
      <c r="AH15" t="s">
        <v>141</v>
      </c>
      <c r="AI15" t="s">
        <v>142</v>
      </c>
      <c r="AJ15" t="s">
        <v>143</v>
      </c>
      <c r="AK15" t="s">
        <v>144</v>
      </c>
      <c r="AL15" t="s">
        <v>145</v>
      </c>
      <c r="AM15" t="s">
        <v>146</v>
      </c>
      <c r="AN15" t="s">
        <v>147</v>
      </c>
      <c r="AO15" t="s">
        <v>148</v>
      </c>
      <c r="AP15" t="s">
        <v>149</v>
      </c>
      <c r="AQ15" t="s">
        <v>150</v>
      </c>
      <c r="AR15" t="s">
        <v>151</v>
      </c>
      <c r="AS15" t="s">
        <v>152</v>
      </c>
      <c r="AT15" t="s">
        <v>153</v>
      </c>
      <c r="AU15" t="s">
        <v>154</v>
      </c>
      <c r="AV15" t="s">
        <v>155</v>
      </c>
      <c r="AW15" t="s">
        <v>156</v>
      </c>
      <c r="AX15" t="s">
        <v>157</v>
      </c>
      <c r="AY15" t="s">
        <v>92</v>
      </c>
      <c r="AZ15" t="s">
        <v>158</v>
      </c>
      <c r="BA15" t="s">
        <v>159</v>
      </c>
      <c r="BB15" t="s">
        <v>160</v>
      </c>
      <c r="BC15" t="s">
        <v>161</v>
      </c>
      <c r="BD15" t="s">
        <v>162</v>
      </c>
      <c r="BE15" t="s">
        <v>163</v>
      </c>
      <c r="BF15" t="s">
        <v>164</v>
      </c>
      <c r="BG15" t="s">
        <v>165</v>
      </c>
      <c r="BH15" t="s">
        <v>166</v>
      </c>
      <c r="BI15" t="s">
        <v>167</v>
      </c>
      <c r="BJ15" t="s">
        <v>168</v>
      </c>
      <c r="BK15" t="s">
        <v>169</v>
      </c>
      <c r="BL15" t="s">
        <v>170</v>
      </c>
      <c r="BM15" t="s">
        <v>171</v>
      </c>
      <c r="BN15" t="s">
        <v>172</v>
      </c>
      <c r="BO15" t="s">
        <v>173</v>
      </c>
      <c r="BP15" t="s">
        <v>174</v>
      </c>
      <c r="BQ15" t="s">
        <v>175</v>
      </c>
      <c r="BR15" t="s">
        <v>176</v>
      </c>
      <c r="BS15" t="s">
        <v>177</v>
      </c>
      <c r="BT15" t="s">
        <v>178</v>
      </c>
      <c r="BU15" t="s">
        <v>179</v>
      </c>
      <c r="BV15" t="s">
        <v>180</v>
      </c>
      <c r="BW15" t="s">
        <v>181</v>
      </c>
      <c r="BX15" t="s">
        <v>182</v>
      </c>
      <c r="BY15" t="s">
        <v>183</v>
      </c>
      <c r="BZ15" t="s">
        <v>184</v>
      </c>
      <c r="CA15" t="s">
        <v>185</v>
      </c>
      <c r="CB15" t="s">
        <v>186</v>
      </c>
      <c r="CC15" t="s">
        <v>187</v>
      </c>
      <c r="CD15" t="s">
        <v>188</v>
      </c>
      <c r="CE15" t="s">
        <v>189</v>
      </c>
      <c r="CF15" t="s">
        <v>190</v>
      </c>
      <c r="CG15" t="s">
        <v>191</v>
      </c>
      <c r="CH15" t="s">
        <v>192</v>
      </c>
      <c r="CI15" t="s">
        <v>193</v>
      </c>
      <c r="CJ15" t="s">
        <v>194</v>
      </c>
      <c r="CK15" t="s">
        <v>195</v>
      </c>
      <c r="CL15" t="s">
        <v>196</v>
      </c>
      <c r="CM15" t="s">
        <v>197</v>
      </c>
      <c r="CN15" t="s">
        <v>198</v>
      </c>
      <c r="CO15" t="s">
        <v>199</v>
      </c>
      <c r="CP15" t="s">
        <v>200</v>
      </c>
      <c r="CQ15" t="s">
        <v>201</v>
      </c>
      <c r="CR15" t="s">
        <v>202</v>
      </c>
      <c r="CS15" t="s">
        <v>203</v>
      </c>
      <c r="CT15" t="s">
        <v>204</v>
      </c>
      <c r="CU15" t="s">
        <v>205</v>
      </c>
      <c r="CV15" t="s">
        <v>206</v>
      </c>
      <c r="CW15" t="s">
        <v>207</v>
      </c>
      <c r="CX15" t="s">
        <v>208</v>
      </c>
      <c r="CY15" t="s">
        <v>209</v>
      </c>
      <c r="CZ15" t="s">
        <v>210</v>
      </c>
      <c r="DA15" t="s">
        <v>190</v>
      </c>
      <c r="DB15" t="s">
        <v>211</v>
      </c>
      <c r="DC15" t="s">
        <v>212</v>
      </c>
      <c r="DD15" t="s">
        <v>213</v>
      </c>
      <c r="DE15" t="s">
        <v>164</v>
      </c>
      <c r="DF15" t="s">
        <v>214</v>
      </c>
      <c r="DG15" t="s">
        <v>215</v>
      </c>
      <c r="DH15" t="s">
        <v>216</v>
      </c>
      <c r="DI15" t="s">
        <v>217</v>
      </c>
      <c r="DJ15" t="s">
        <v>218</v>
      </c>
      <c r="DK15" t="s">
        <v>219</v>
      </c>
      <c r="DL15" t="s">
        <v>220</v>
      </c>
      <c r="DM15" t="s">
        <v>221</v>
      </c>
      <c r="DN15" t="s">
        <v>222</v>
      </c>
      <c r="DO15" t="s">
        <v>223</v>
      </c>
      <c r="DP15" t="s">
        <v>224</v>
      </c>
      <c r="DQ15" t="s">
        <v>225</v>
      </c>
      <c r="DR15" t="s">
        <v>226</v>
      </c>
      <c r="DS15" t="s">
        <v>227</v>
      </c>
      <c r="DT15" t="s">
        <v>228</v>
      </c>
      <c r="DU15" t="s">
        <v>229</v>
      </c>
      <c r="DV15" t="s">
        <v>230</v>
      </c>
      <c r="DW15" t="s">
        <v>122</v>
      </c>
      <c r="DX15" t="s">
        <v>231</v>
      </c>
      <c r="DY15" t="s">
        <v>232</v>
      </c>
      <c r="DZ15" t="s">
        <v>233</v>
      </c>
      <c r="EA15" t="s">
        <v>234</v>
      </c>
      <c r="EB15" t="s">
        <v>235</v>
      </c>
      <c r="EC15" t="s">
        <v>236</v>
      </c>
      <c r="ED15" t="s">
        <v>237</v>
      </c>
      <c r="EE15" t="s">
        <v>238</v>
      </c>
      <c r="EF15" t="s">
        <v>239</v>
      </c>
      <c r="EG15" t="s">
        <v>240</v>
      </c>
      <c r="EH15" t="s">
        <v>241</v>
      </c>
      <c r="EI15" t="s">
        <v>242</v>
      </c>
      <c r="EJ15" t="s">
        <v>243</v>
      </c>
      <c r="EK15" t="s">
        <v>244</v>
      </c>
      <c r="EL15" t="s">
        <v>245</v>
      </c>
      <c r="EM15" t="s">
        <v>246</v>
      </c>
      <c r="EN15" t="s">
        <v>247</v>
      </c>
      <c r="EO15" t="s">
        <v>248</v>
      </c>
      <c r="EP15" t="s">
        <v>249</v>
      </c>
      <c r="EQ15" t="s">
        <v>250</v>
      </c>
      <c r="ER15" t="s">
        <v>251</v>
      </c>
      <c r="ES15" t="s">
        <v>252</v>
      </c>
      <c r="ET15" t="s">
        <v>253</v>
      </c>
      <c r="EU15" t="s">
        <v>254</v>
      </c>
      <c r="EV15" t="s">
        <v>255</v>
      </c>
      <c r="EW15" t="s">
        <v>256</v>
      </c>
      <c r="EX15" t="s">
        <v>257</v>
      </c>
      <c r="EY15" t="s">
        <v>258</v>
      </c>
      <c r="EZ15" t="s">
        <v>259</v>
      </c>
      <c r="FA15" t="s">
        <v>260</v>
      </c>
      <c r="FB15" t="s">
        <v>261</v>
      </c>
      <c r="FC15" t="s">
        <v>262</v>
      </c>
      <c r="FD15" t="s">
        <v>263</v>
      </c>
      <c r="FE15" t="s">
        <v>264</v>
      </c>
      <c r="FF15" t="s">
        <v>265</v>
      </c>
      <c r="FG15" t="s">
        <v>266</v>
      </c>
      <c r="FH15" t="s">
        <v>267</v>
      </c>
      <c r="FI15" t="s">
        <v>268</v>
      </c>
      <c r="FJ15" t="s">
        <v>269</v>
      </c>
      <c r="FK15" t="s">
        <v>270</v>
      </c>
      <c r="FL15" t="s">
        <v>271</v>
      </c>
      <c r="FM15" t="s">
        <v>272</v>
      </c>
      <c r="FN15" t="s">
        <v>273</v>
      </c>
      <c r="FO15" t="s">
        <v>274</v>
      </c>
      <c r="FP15" t="s">
        <v>275</v>
      </c>
      <c r="FQ15" t="s">
        <v>276</v>
      </c>
      <c r="FR15" t="s">
        <v>277</v>
      </c>
      <c r="FS15" t="s">
        <v>278</v>
      </c>
      <c r="FT15" t="s">
        <v>279</v>
      </c>
      <c r="FU15" t="s">
        <v>280</v>
      </c>
      <c r="FV15" t="s">
        <v>111</v>
      </c>
      <c r="FW15" t="s">
        <v>114</v>
      </c>
      <c r="FX15" t="s">
        <v>281</v>
      </c>
      <c r="FY15" t="s">
        <v>282</v>
      </c>
      <c r="FZ15" t="s">
        <v>283</v>
      </c>
      <c r="GA15" t="s">
        <v>284</v>
      </c>
      <c r="GB15" t="s">
        <v>285</v>
      </c>
      <c r="GC15" t="s">
        <v>286</v>
      </c>
      <c r="GD15" t="s">
        <v>287</v>
      </c>
      <c r="GE15" t="s">
        <v>288</v>
      </c>
      <c r="GF15" t="s">
        <v>289</v>
      </c>
      <c r="GG15" t="s">
        <v>290</v>
      </c>
      <c r="GH15" t="s">
        <v>291</v>
      </c>
      <c r="GI15" t="s">
        <v>292</v>
      </c>
      <c r="GJ15" t="s">
        <v>293</v>
      </c>
      <c r="GK15" t="s">
        <v>294</v>
      </c>
      <c r="GL15" t="s">
        <v>295</v>
      </c>
      <c r="GM15" t="s">
        <v>296</v>
      </c>
      <c r="GN15" t="s">
        <v>297</v>
      </c>
      <c r="GO15" t="s">
        <v>298</v>
      </c>
      <c r="GP15" t="s">
        <v>299</v>
      </c>
      <c r="GQ15" t="s">
        <v>300</v>
      </c>
      <c r="GR15" t="s">
        <v>301</v>
      </c>
      <c r="GS15" t="s">
        <v>302</v>
      </c>
      <c r="GT15" t="s">
        <v>303</v>
      </c>
      <c r="GU15" t="s">
        <v>304</v>
      </c>
      <c r="GV15" t="s">
        <v>305</v>
      </c>
      <c r="GW15" t="s">
        <v>306</v>
      </c>
      <c r="GX15" t="s">
        <v>307</v>
      </c>
      <c r="GY15" t="s">
        <v>308</v>
      </c>
      <c r="GZ15" t="s">
        <v>309</v>
      </c>
      <c r="HA15" t="s">
        <v>310</v>
      </c>
      <c r="HB15" t="s">
        <v>311</v>
      </c>
      <c r="HC15" t="s">
        <v>312</v>
      </c>
      <c r="HD15" t="s">
        <v>313</v>
      </c>
      <c r="HE15" t="s">
        <v>314</v>
      </c>
      <c r="HF15" t="s">
        <v>315</v>
      </c>
      <c r="HG15" t="s">
        <v>316</v>
      </c>
      <c r="HH15" t="s">
        <v>317</v>
      </c>
      <c r="HI15" t="s">
        <v>318</v>
      </c>
      <c r="HJ15" t="s">
        <v>319</v>
      </c>
      <c r="HK15" t="s">
        <v>320</v>
      </c>
      <c r="HL15" t="s">
        <v>321</v>
      </c>
      <c r="HM15" t="s">
        <v>322</v>
      </c>
      <c r="HN15" t="s">
        <v>323</v>
      </c>
      <c r="HO15" t="s">
        <v>324</v>
      </c>
      <c r="HP15" t="s">
        <v>325</v>
      </c>
      <c r="HQ15" t="s">
        <v>326</v>
      </c>
      <c r="HR15" t="s">
        <v>327</v>
      </c>
      <c r="HS15" t="s">
        <v>328</v>
      </c>
      <c r="HT15" t="s">
        <v>329</v>
      </c>
      <c r="HU15" t="s">
        <v>330</v>
      </c>
      <c r="HV15" t="s">
        <v>331</v>
      </c>
      <c r="HW15" t="s">
        <v>332</v>
      </c>
      <c r="HX15" t="s">
        <v>333</v>
      </c>
      <c r="HY15" t="s">
        <v>334</v>
      </c>
      <c r="HZ15" t="s">
        <v>335</v>
      </c>
      <c r="IA15" t="s">
        <v>336</v>
      </c>
      <c r="IB15" t="s">
        <v>337</v>
      </c>
      <c r="IC15" t="s">
        <v>338</v>
      </c>
      <c r="ID15" t="s">
        <v>339</v>
      </c>
      <c r="IE15" t="s">
        <v>340</v>
      </c>
      <c r="IF15" t="s">
        <v>341</v>
      </c>
      <c r="IG15" t="s">
        <v>342</v>
      </c>
      <c r="IH15" t="s">
        <v>343</v>
      </c>
      <c r="II15" t="s">
        <v>344</v>
      </c>
      <c r="IJ15" t="s">
        <v>345</v>
      </c>
      <c r="IK15" t="s">
        <v>346</v>
      </c>
      <c r="IL15" t="s">
        <v>347</v>
      </c>
      <c r="IM15" t="s">
        <v>348</v>
      </c>
      <c r="IN15" t="s">
        <v>349</v>
      </c>
      <c r="IO15" t="s">
        <v>350</v>
      </c>
      <c r="IP15" t="s">
        <v>351</v>
      </c>
      <c r="IQ15" t="s">
        <v>352</v>
      </c>
      <c r="IR15" t="s">
        <v>353</v>
      </c>
      <c r="IS15" t="s">
        <v>354</v>
      </c>
      <c r="IT15" t="s">
        <v>355</v>
      </c>
      <c r="IU15" t="s">
        <v>356</v>
      </c>
      <c r="IV15" t="s">
        <v>357</v>
      </c>
      <c r="IW15" t="s">
        <v>358</v>
      </c>
      <c r="IX15" t="s">
        <v>359</v>
      </c>
      <c r="IY15" t="s">
        <v>360</v>
      </c>
      <c r="IZ15" t="s">
        <v>361</v>
      </c>
      <c r="JA15" t="s">
        <v>362</v>
      </c>
      <c r="JB15" t="s">
        <v>363</v>
      </c>
      <c r="JC15" t="s">
        <v>364</v>
      </c>
      <c r="JD15" t="s">
        <v>365</v>
      </c>
      <c r="JE15" t="s">
        <v>366</v>
      </c>
      <c r="JF15" t="s">
        <v>367</v>
      </c>
      <c r="JG15" t="s">
        <v>368</v>
      </c>
      <c r="JH15" t="s">
        <v>369</v>
      </c>
      <c r="JI15" t="s">
        <v>370</v>
      </c>
      <c r="JJ15" t="s">
        <v>371</v>
      </c>
      <c r="JK15" t="s">
        <v>372</v>
      </c>
      <c r="JL15" t="s">
        <v>373</v>
      </c>
      <c r="JM15" t="s">
        <v>374</v>
      </c>
      <c r="JN15" t="s">
        <v>375</v>
      </c>
      <c r="JO15" t="s">
        <v>376</v>
      </c>
      <c r="JP15" t="s">
        <v>377</v>
      </c>
      <c r="JQ15" t="s">
        <v>378</v>
      </c>
      <c r="JR15" t="s">
        <v>379</v>
      </c>
      <c r="JS15" t="s">
        <v>380</v>
      </c>
      <c r="JT15" t="s">
        <v>381</v>
      </c>
      <c r="JU15" t="s">
        <v>382</v>
      </c>
      <c r="JV15" t="s">
        <v>383</v>
      </c>
      <c r="JW15" t="s">
        <v>384</v>
      </c>
      <c r="JX15" t="s">
        <v>385</v>
      </c>
      <c r="JY15" t="s">
        <v>386</v>
      </c>
      <c r="JZ15" t="s">
        <v>387</v>
      </c>
      <c r="KA15" t="s">
        <v>388</v>
      </c>
      <c r="KB15" t="s">
        <v>389</v>
      </c>
      <c r="KC15" t="s">
        <v>390</v>
      </c>
      <c r="KD15" t="s">
        <v>391</v>
      </c>
      <c r="KE15" t="s">
        <v>392</v>
      </c>
      <c r="KF15" t="s">
        <v>393</v>
      </c>
      <c r="KG15" t="s">
        <v>394</v>
      </c>
      <c r="KH15" t="s">
        <v>395</v>
      </c>
      <c r="KI15" t="s">
        <v>396</v>
      </c>
      <c r="KJ15" t="s">
        <v>397</v>
      </c>
      <c r="KK15" t="s">
        <v>398</v>
      </c>
      <c r="KL15" t="s">
        <v>399</v>
      </c>
      <c r="KM15" t="s">
        <v>400</v>
      </c>
    </row>
    <row r="16" spans="1:299" x14ac:dyDescent="0.2">
      <c r="D16" t="s">
        <v>401</v>
      </c>
      <c r="E16" t="s">
        <v>401</v>
      </c>
      <c r="H16" t="s">
        <v>401</v>
      </c>
      <c r="O16" t="s">
        <v>401</v>
      </c>
      <c r="P16" t="s">
        <v>402</v>
      </c>
      <c r="Q16" t="s">
        <v>403</v>
      </c>
      <c r="R16" t="s">
        <v>404</v>
      </c>
      <c r="S16" t="s">
        <v>405</v>
      </c>
      <c r="T16" t="s">
        <v>405</v>
      </c>
      <c r="U16" t="s">
        <v>238</v>
      </c>
      <c r="V16" t="s">
        <v>238</v>
      </c>
      <c r="W16" t="s">
        <v>402</v>
      </c>
      <c r="X16" t="s">
        <v>402</v>
      </c>
      <c r="Y16" t="s">
        <v>402</v>
      </c>
      <c r="Z16" t="s">
        <v>402</v>
      </c>
      <c r="AA16" t="s">
        <v>406</v>
      </c>
      <c r="AB16" t="s">
        <v>407</v>
      </c>
      <c r="AC16" t="s">
        <v>407</v>
      </c>
      <c r="AD16" t="s">
        <v>408</v>
      </c>
      <c r="AE16" t="s">
        <v>409</v>
      </c>
      <c r="AF16" t="s">
        <v>408</v>
      </c>
      <c r="AG16" t="s">
        <v>408</v>
      </c>
      <c r="AH16" t="s">
        <v>408</v>
      </c>
      <c r="AI16" t="s">
        <v>406</v>
      </c>
      <c r="AJ16" t="s">
        <v>406</v>
      </c>
      <c r="AK16" t="s">
        <v>406</v>
      </c>
      <c r="AL16" t="s">
        <v>406</v>
      </c>
      <c r="AM16" t="s">
        <v>404</v>
      </c>
      <c r="AN16" t="s">
        <v>403</v>
      </c>
      <c r="AO16" t="s">
        <v>404</v>
      </c>
      <c r="AP16" t="s">
        <v>405</v>
      </c>
      <c r="AQ16" t="s">
        <v>405</v>
      </c>
      <c r="AR16" t="s">
        <v>410</v>
      </c>
      <c r="AS16" t="s">
        <v>411</v>
      </c>
      <c r="AT16" t="s">
        <v>403</v>
      </c>
      <c r="AU16" t="s">
        <v>412</v>
      </c>
      <c r="AV16" t="s">
        <v>412</v>
      </c>
      <c r="AW16" t="s">
        <v>413</v>
      </c>
      <c r="AX16" t="s">
        <v>411</v>
      </c>
      <c r="AY16" t="s">
        <v>414</v>
      </c>
      <c r="AZ16" t="s">
        <v>409</v>
      </c>
      <c r="BB16" t="s">
        <v>409</v>
      </c>
      <c r="BC16" t="s">
        <v>414</v>
      </c>
      <c r="BI16" t="s">
        <v>404</v>
      </c>
      <c r="BP16" t="s">
        <v>404</v>
      </c>
      <c r="BQ16" t="s">
        <v>404</v>
      </c>
      <c r="BR16" t="s">
        <v>404</v>
      </c>
      <c r="BS16" t="s">
        <v>415</v>
      </c>
      <c r="CG16" t="s">
        <v>416</v>
      </c>
      <c r="CI16" t="s">
        <v>416</v>
      </c>
      <c r="CJ16" t="s">
        <v>404</v>
      </c>
      <c r="CM16" t="s">
        <v>416</v>
      </c>
      <c r="CN16" t="s">
        <v>409</v>
      </c>
      <c r="CQ16" t="s">
        <v>417</v>
      </c>
      <c r="CR16" t="s">
        <v>417</v>
      </c>
      <c r="CT16" t="s">
        <v>418</v>
      </c>
      <c r="CU16" t="s">
        <v>416</v>
      </c>
      <c r="CW16" t="s">
        <v>416</v>
      </c>
      <c r="CX16" t="s">
        <v>404</v>
      </c>
      <c r="DB16" t="s">
        <v>416</v>
      </c>
      <c r="DD16" t="s">
        <v>419</v>
      </c>
      <c r="DG16" t="s">
        <v>416</v>
      </c>
      <c r="DH16" t="s">
        <v>416</v>
      </c>
      <c r="DJ16" t="s">
        <v>416</v>
      </c>
      <c r="DL16" t="s">
        <v>416</v>
      </c>
      <c r="DN16" t="s">
        <v>404</v>
      </c>
      <c r="DO16" t="s">
        <v>404</v>
      </c>
      <c r="DQ16" t="s">
        <v>420</v>
      </c>
      <c r="DR16" t="s">
        <v>421</v>
      </c>
      <c r="DU16" t="s">
        <v>402</v>
      </c>
      <c r="DW16" t="s">
        <v>401</v>
      </c>
      <c r="DX16" t="s">
        <v>405</v>
      </c>
      <c r="DY16" t="s">
        <v>405</v>
      </c>
      <c r="DZ16" t="s">
        <v>412</v>
      </c>
      <c r="EA16" t="s">
        <v>412</v>
      </c>
      <c r="EB16" t="s">
        <v>405</v>
      </c>
      <c r="EC16" t="s">
        <v>412</v>
      </c>
      <c r="ED16" t="s">
        <v>414</v>
      </c>
      <c r="EE16" t="s">
        <v>408</v>
      </c>
      <c r="EF16" t="s">
        <v>408</v>
      </c>
      <c r="EG16" t="s">
        <v>407</v>
      </c>
      <c r="EH16" t="s">
        <v>407</v>
      </c>
      <c r="EI16" t="s">
        <v>407</v>
      </c>
      <c r="EJ16" t="s">
        <v>407</v>
      </c>
      <c r="EK16" t="s">
        <v>407</v>
      </c>
      <c r="EL16" t="s">
        <v>422</v>
      </c>
      <c r="EM16" t="s">
        <v>404</v>
      </c>
      <c r="EN16" t="s">
        <v>404</v>
      </c>
      <c r="EO16" t="s">
        <v>405</v>
      </c>
      <c r="EP16" t="s">
        <v>405</v>
      </c>
      <c r="EQ16" t="s">
        <v>405</v>
      </c>
      <c r="ER16" t="s">
        <v>412</v>
      </c>
      <c r="ES16" t="s">
        <v>405</v>
      </c>
      <c r="ET16" t="s">
        <v>412</v>
      </c>
      <c r="EU16" t="s">
        <v>408</v>
      </c>
      <c r="EV16" t="s">
        <v>408</v>
      </c>
      <c r="EW16" t="s">
        <v>407</v>
      </c>
      <c r="EX16" t="s">
        <v>407</v>
      </c>
      <c r="EY16" t="s">
        <v>404</v>
      </c>
      <c r="FD16" t="s">
        <v>404</v>
      </c>
      <c r="FG16" t="s">
        <v>407</v>
      </c>
      <c r="FH16" t="s">
        <v>407</v>
      </c>
      <c r="FI16" t="s">
        <v>407</v>
      </c>
      <c r="FJ16" t="s">
        <v>407</v>
      </c>
      <c r="FK16" t="s">
        <v>407</v>
      </c>
      <c r="FL16" t="s">
        <v>404</v>
      </c>
      <c r="FM16" t="s">
        <v>404</v>
      </c>
      <c r="FN16" t="s">
        <v>404</v>
      </c>
      <c r="FO16" t="s">
        <v>401</v>
      </c>
      <c r="FR16" t="s">
        <v>423</v>
      </c>
      <c r="FS16" t="s">
        <v>423</v>
      </c>
      <c r="FU16" t="s">
        <v>401</v>
      </c>
      <c r="FV16" t="s">
        <v>424</v>
      </c>
      <c r="FX16" t="s">
        <v>401</v>
      </c>
      <c r="FY16" t="s">
        <v>401</v>
      </c>
      <c r="GA16" t="s">
        <v>425</v>
      </c>
      <c r="GB16" t="s">
        <v>426</v>
      </c>
      <c r="GC16" t="s">
        <v>425</v>
      </c>
      <c r="GD16" t="s">
        <v>426</v>
      </c>
      <c r="GE16" t="s">
        <v>425</v>
      </c>
      <c r="GF16" t="s">
        <v>426</v>
      </c>
      <c r="GG16" t="s">
        <v>409</v>
      </c>
      <c r="GH16" t="s">
        <v>409</v>
      </c>
      <c r="GI16" t="s">
        <v>404</v>
      </c>
      <c r="GJ16" t="s">
        <v>427</v>
      </c>
      <c r="GK16" t="s">
        <v>404</v>
      </c>
      <c r="GM16" t="s">
        <v>402</v>
      </c>
      <c r="GN16" t="s">
        <v>428</v>
      </c>
      <c r="GO16" t="s">
        <v>402</v>
      </c>
      <c r="GT16" t="s">
        <v>429</v>
      </c>
      <c r="GU16" t="s">
        <v>429</v>
      </c>
      <c r="HH16" t="s">
        <v>429</v>
      </c>
      <c r="HI16" t="s">
        <v>429</v>
      </c>
      <c r="HJ16" t="s">
        <v>430</v>
      </c>
      <c r="HK16" t="s">
        <v>430</v>
      </c>
      <c r="HL16" t="s">
        <v>407</v>
      </c>
      <c r="HM16" t="s">
        <v>407</v>
      </c>
      <c r="HN16" t="s">
        <v>409</v>
      </c>
      <c r="HO16" t="s">
        <v>407</v>
      </c>
      <c r="HP16" t="s">
        <v>412</v>
      </c>
      <c r="HQ16" t="s">
        <v>409</v>
      </c>
      <c r="HR16" t="s">
        <v>409</v>
      </c>
      <c r="HT16" t="s">
        <v>429</v>
      </c>
      <c r="HU16" t="s">
        <v>429</v>
      </c>
      <c r="HV16" t="s">
        <v>429</v>
      </c>
      <c r="HW16" t="s">
        <v>429</v>
      </c>
      <c r="HX16" t="s">
        <v>429</v>
      </c>
      <c r="HY16" t="s">
        <v>429</v>
      </c>
      <c r="HZ16" t="s">
        <v>429</v>
      </c>
      <c r="IA16" t="s">
        <v>431</v>
      </c>
      <c r="IB16" t="s">
        <v>431</v>
      </c>
      <c r="IC16" t="s">
        <v>431</v>
      </c>
      <c r="ID16" t="s">
        <v>432</v>
      </c>
      <c r="IE16" t="s">
        <v>429</v>
      </c>
      <c r="IF16" t="s">
        <v>429</v>
      </c>
      <c r="IG16" t="s">
        <v>429</v>
      </c>
      <c r="IH16" t="s">
        <v>429</v>
      </c>
      <c r="II16" t="s">
        <v>429</v>
      </c>
      <c r="IJ16" t="s">
        <v>429</v>
      </c>
      <c r="IK16" t="s">
        <v>429</v>
      </c>
      <c r="IL16" t="s">
        <v>429</v>
      </c>
      <c r="IM16" t="s">
        <v>429</v>
      </c>
      <c r="IN16" t="s">
        <v>429</v>
      </c>
      <c r="IO16" t="s">
        <v>429</v>
      </c>
      <c r="IP16" t="s">
        <v>429</v>
      </c>
      <c r="IW16" t="s">
        <v>429</v>
      </c>
      <c r="IX16" t="s">
        <v>409</v>
      </c>
      <c r="IY16" t="s">
        <v>409</v>
      </c>
      <c r="IZ16" t="s">
        <v>425</v>
      </c>
      <c r="JA16" t="s">
        <v>426</v>
      </c>
      <c r="JB16" t="s">
        <v>425</v>
      </c>
      <c r="JF16" t="s">
        <v>426</v>
      </c>
      <c r="JJ16" t="s">
        <v>405</v>
      </c>
      <c r="JK16" t="s">
        <v>405</v>
      </c>
      <c r="JL16" t="s">
        <v>412</v>
      </c>
      <c r="JM16" t="s">
        <v>412</v>
      </c>
      <c r="JN16" t="s">
        <v>433</v>
      </c>
      <c r="JO16" t="s">
        <v>433</v>
      </c>
      <c r="JP16" t="s">
        <v>429</v>
      </c>
      <c r="JQ16" t="s">
        <v>429</v>
      </c>
      <c r="JR16" t="s">
        <v>429</v>
      </c>
      <c r="JS16" t="s">
        <v>429</v>
      </c>
      <c r="JT16" t="s">
        <v>429</v>
      </c>
      <c r="JU16" t="s">
        <v>429</v>
      </c>
      <c r="JV16" t="s">
        <v>407</v>
      </c>
      <c r="JW16" t="s">
        <v>429</v>
      </c>
      <c r="JY16" t="s">
        <v>414</v>
      </c>
      <c r="JZ16" t="s">
        <v>414</v>
      </c>
      <c r="KA16" t="s">
        <v>407</v>
      </c>
      <c r="KB16" t="s">
        <v>407</v>
      </c>
      <c r="KC16" t="s">
        <v>407</v>
      </c>
      <c r="KD16" t="s">
        <v>407</v>
      </c>
      <c r="KE16" t="s">
        <v>407</v>
      </c>
      <c r="KF16" t="s">
        <v>409</v>
      </c>
      <c r="KG16" t="s">
        <v>409</v>
      </c>
      <c r="KH16" t="s">
        <v>409</v>
      </c>
      <c r="KI16" t="s">
        <v>407</v>
      </c>
      <c r="KJ16" t="s">
        <v>405</v>
      </c>
      <c r="KK16" t="s">
        <v>412</v>
      </c>
      <c r="KL16" t="s">
        <v>409</v>
      </c>
      <c r="KM16" t="s">
        <v>409</v>
      </c>
    </row>
    <row r="17" spans="1:299" x14ac:dyDescent="0.2">
      <c r="A17">
        <v>2</v>
      </c>
      <c r="B17" t="s">
        <v>537</v>
      </c>
      <c r="C17">
        <v>1</v>
      </c>
      <c r="D17">
        <v>1707836927</v>
      </c>
      <c r="E17">
        <v>0</v>
      </c>
      <c r="F17" t="s">
        <v>434</v>
      </c>
      <c r="G17" t="s">
        <v>435</v>
      </c>
      <c r="H17" t="s">
        <v>436</v>
      </c>
      <c r="I17" t="s">
        <v>437</v>
      </c>
      <c r="J17" t="s">
        <v>438</v>
      </c>
      <c r="M17" t="s">
        <v>438</v>
      </c>
      <c r="O17">
        <v>1707836927</v>
      </c>
      <c r="P17">
        <f t="shared" ref="P17:P60" si="0">(Q17)/1000</f>
        <v>6.1364572421223457E-4</v>
      </c>
      <c r="Q17">
        <f t="shared" ref="Q17:Q60" si="1">IF(DV17, AT17, AN17)</f>
        <v>0.61364572421223462</v>
      </c>
      <c r="R17">
        <f t="shared" ref="R17:R60" si="2">IF(DV17, AO17, AM17)</f>
        <v>-0.36445572465097609</v>
      </c>
      <c r="S17">
        <f t="shared" ref="S17:S60" si="3">DX17 - IF(BA17&gt;1, R17*DR17*100/(BC17), 0)</f>
        <v>401.666</v>
      </c>
      <c r="T17">
        <f t="shared" ref="T17:T60" si="4">((Z17-P17/2)*S17-R17)/(Z17+P17/2)</f>
        <v>406.80271459230516</v>
      </c>
      <c r="U17">
        <f t="shared" ref="U17:U60" si="5">T17*(EE17+EF17)/1000</f>
        <v>41.506083858152166</v>
      </c>
      <c r="V17">
        <f t="shared" ref="V17:V60" si="6">(DX17 - IF(BA17&gt;1, R17*DR17*100/(BC17), 0))*(EE17+EF17)/1000</f>
        <v>40.981984831828598</v>
      </c>
      <c r="W17">
        <f t="shared" ref="W17:W60" si="7">2/((1/Y17-1/X17)+SIGN(Y17)*SQRT((1/Y17-1/X17)*(1/Y17-1/X17) + 4*DS17/((DS17+1)*(DS17+1))*(2*1/Y17*1/X17-1/X17*1/X17)))</f>
        <v>3.6468544053887164E-2</v>
      </c>
      <c r="X17">
        <f t="shared" ref="X17:X60" si="8">IF(LEFT(DT17,1)&lt;&gt;"0",IF(LEFT(DT17,1)="1",3,DU17),$F$5+$G$5*(EL17*EE17/($M$5*1000))+$H$5*(EL17*EE17/($M$5*1000))*MAX(MIN(DR17,$L$5),$K$5)*MAX(MIN(DR17,$L$5),$K$5)+$I$5*MAX(MIN(DR17,$L$5),$K$5)*(EL17*EE17/($M$5*1000))+$J$5*(EL17*EE17/($M$5*1000))*(EL17*EE17/($M$5*1000)))</f>
        <v>2.9625886925590978</v>
      </c>
      <c r="Y17">
        <f t="shared" ref="Y17:Y60" si="9">P17*(1000-(1000*0.61365*EXP(17.502*AC17/(240.97+AC17))/(EE17+EF17)+DZ17)/2)/(1000*0.61365*EXP(17.502*AC17/(240.97+AC17))/(EE17+EF17)-DZ17)</f>
        <v>3.622097388693906E-2</v>
      </c>
      <c r="Z17">
        <f t="shared" ref="Z17:Z60" si="10">1/((DS17+1)/(W17/1.6)+1/(X17/1.37)) + DS17/((DS17+1)/(W17/1.6) + DS17/(X17/1.37))</f>
        <v>2.266021162454273E-2</v>
      </c>
      <c r="AA17">
        <f t="shared" ref="AA17:AA60" si="11">(DN17*DQ17)</f>
        <v>4.7503420061559996E-3</v>
      </c>
      <c r="AB17">
        <f t="shared" ref="AB17:AB60" si="12">(EG17+(AA17+2*0.95*0.0000000567*(((EG17+$D$7)+273)^4-(EG17+273)^4)-44100*P17)/(1.84*29.3*X17+8*0.95*0.0000000567*(EG17+273)^3))</f>
        <v>15.916361318034204</v>
      </c>
      <c r="AC17">
        <f t="shared" ref="AC17:AC60" si="13">($E$7*EH17+$F$7*EI17+$G$7*AB17)</f>
        <v>15.9086</v>
      </c>
      <c r="AD17">
        <f t="shared" ref="AD17:AD60" si="14">0.61365*EXP(17.502*AC17/(240.97+AC17))</f>
        <v>1.8140749947530808</v>
      </c>
      <c r="AE17">
        <f t="shared" ref="AE17:AE60" si="15">(AF17/AG17*100)</f>
        <v>5.54890271936054</v>
      </c>
      <c r="AF17">
        <f t="shared" ref="AF17:AF60" si="16">DZ17*(EE17+EF17)/1000</f>
        <v>0.1017394256397792</v>
      </c>
      <c r="AG17">
        <f t="shared" ref="AG17:AG60" si="17">0.61365*EXP(17.502*EG17/(240.97+EG17))</f>
        <v>1.8335053033963393</v>
      </c>
      <c r="AH17">
        <f t="shared" ref="AH17:AH60" si="18">(AD17-DZ17*(EE17+EF17)/1000)</f>
        <v>1.7123355691133015</v>
      </c>
      <c r="AI17">
        <f t="shared" ref="AI17:AI60" si="19">(-P17*44100)</f>
        <v>-27.061776437759544</v>
      </c>
      <c r="AJ17">
        <f t="shared" ref="AJ17:AJ60" si="20">2*29.3*X17*0.92*(EG17-AC17)</f>
        <v>26.641142809753212</v>
      </c>
      <c r="AK17">
        <f t="shared" ref="AK17:AK60" si="21">2*0.95*0.0000000567*(((EG17+$D$7)+273)^4-(AC17+273)^4)</f>
        <v>1.7348031235656121</v>
      </c>
      <c r="AL17">
        <f t="shared" ref="AL17:AL60" si="22">AA17+AK17+AI17+AJ17</f>
        <v>1.318919837565435</v>
      </c>
      <c r="AM17">
        <f t="shared" ref="AM17:AM60" si="23">ED17*BA17*(DY17-DX17*(1000-BA17*EA17)/(1000-BA17*DZ17))/(100*DR17)</f>
        <v>-2.3698989535261425</v>
      </c>
      <c r="AN17">
        <f t="shared" ref="AN17:AN60" si="24">1000*ED17*BA17*(DZ17-EA17)/(100*DR17*(1000-BA17*DZ17))</f>
        <v>0.98773984320179498</v>
      </c>
      <c r="AO17">
        <f t="shared" ref="AO17:AO60" si="25">(AP17 - AQ17 - EE17*1000/(8.314*(EG17+273.15)) * AS17/ED17 * AR17) * ED17/(100*DR17) * (1000 - EA17)/1000</f>
        <v>-0.36445572465097609</v>
      </c>
      <c r="AP17">
        <v>400.0646264357145</v>
      </c>
      <c r="AQ17">
        <v>402.240703030303</v>
      </c>
      <c r="AR17">
        <v>-0.45949099017302358</v>
      </c>
      <c r="AS17">
        <v>66.965768401406407</v>
      </c>
      <c r="AT17">
        <f t="shared" ref="AT17:AT60" si="26">(AV17 - AU17 + EE17*1000/(8.314*(EG17+273.15)) * AX17/ED17 * AW17) * ED17/(100*DR17) * 1000/(1000 - AV17)</f>
        <v>0.61364572421223462</v>
      </c>
      <c r="AU17">
        <v>0.15173728115744031</v>
      </c>
      <c r="AV17">
        <v>1.023446727272727</v>
      </c>
      <c r="AW17">
        <v>-7.2881599775787176E-2</v>
      </c>
      <c r="AX17">
        <v>78.461393872812849</v>
      </c>
      <c r="AY17">
        <v>18</v>
      </c>
      <c r="AZ17">
        <v>3</v>
      </c>
      <c r="BA17">
        <f t="shared" ref="BA17:BA60" si="27">IF(AY17*$J$13&gt;=BC17,1,(BC17/(BC17-AY17*$J$13)))</f>
        <v>1</v>
      </c>
      <c r="BB17">
        <f t="shared" ref="BB17:BB60" si="28">(BA17-1)*100</f>
        <v>0</v>
      </c>
      <c r="BC17">
        <f t="shared" ref="BC17:BC60" si="29">MAX(0,($D$13+$E$13*EL17)/(1+$F$13*EL17)*EE17/(EG17+273)*$G$13)</f>
        <v>55917.309676180936</v>
      </c>
      <c r="BD17" t="s">
        <v>439</v>
      </c>
      <c r="BE17" t="s">
        <v>439</v>
      </c>
      <c r="BF17">
        <v>0</v>
      </c>
      <c r="BG17">
        <v>0</v>
      </c>
      <c r="BH17" t="e">
        <f t="shared" ref="BH17:BH60" si="30">1-BF17/BG17</f>
        <v>#DIV/0!</v>
      </c>
      <c r="BI17">
        <v>0</v>
      </c>
      <c r="BJ17" t="s">
        <v>439</v>
      </c>
      <c r="BK17" t="s">
        <v>439</v>
      </c>
      <c r="BL17">
        <v>0</v>
      </c>
      <c r="BM17">
        <v>0</v>
      </c>
      <c r="BN17" t="e">
        <f t="shared" ref="BN17:BN60" si="31">1-BL17/BM17</f>
        <v>#DIV/0!</v>
      </c>
      <c r="BO17">
        <v>0.5</v>
      </c>
      <c r="BP17">
        <f t="shared" ref="BP17:BP60" si="32">DO17</f>
        <v>2.1001512027215997E-2</v>
      </c>
      <c r="BQ17">
        <f t="shared" ref="BQ17:BQ60" si="33">R17</f>
        <v>-0.36445572465097609</v>
      </c>
      <c r="BR17" t="e">
        <f t="shared" ref="BR17:BR60" si="34">BN17*BO17*BP17</f>
        <v>#DIV/0!</v>
      </c>
      <c r="BS17">
        <f t="shared" ref="BS17:BS60" si="35">(BQ17-BI17)/BP17</f>
        <v>-17.353785012177958</v>
      </c>
      <c r="BT17" t="e">
        <f t="shared" ref="BT17:BT60" si="36">(BG17-BM17)/BM17</f>
        <v>#DIV/0!</v>
      </c>
      <c r="BU17" t="e">
        <f t="shared" ref="BU17:BU60" si="37">BF17/(BH17+BF17/BM17)</f>
        <v>#DIV/0!</v>
      </c>
      <c r="BV17" t="s">
        <v>439</v>
      </c>
      <c r="BW17">
        <v>0</v>
      </c>
      <c r="BX17" t="e">
        <f t="shared" ref="BX17:BX60" si="38">IF(BW17&lt;&gt;0, BW17, BU17)</f>
        <v>#DIV/0!</v>
      </c>
      <c r="BY17" t="e">
        <f t="shared" ref="BY17:BY60" si="39">1-BX17/BM17</f>
        <v>#DIV/0!</v>
      </c>
      <c r="BZ17" t="e">
        <f t="shared" ref="BZ17:BZ60" si="40">(BM17-BL17)/(BM17-BX17)</f>
        <v>#DIV/0!</v>
      </c>
      <c r="CA17" t="e">
        <f t="shared" ref="CA17:CA60" si="41">(BG17-BM17)/(BG17-BX17)</f>
        <v>#DIV/0!</v>
      </c>
      <c r="CB17" t="e">
        <f t="shared" ref="CB17:CB60" si="42">(BM17-BL17)/(BM17-BF17)</f>
        <v>#DIV/0!</v>
      </c>
      <c r="CC17" t="e">
        <f t="shared" ref="CC17:CC60" si="43">(BG17-BM17)/(BG17-BF17)</f>
        <v>#DIV/0!</v>
      </c>
      <c r="CD17" t="e">
        <f t="shared" ref="CD17:CD60" si="44">(BZ17*BX17/BL17)</f>
        <v>#DIV/0!</v>
      </c>
      <c r="CE17" t="e">
        <f t="shared" ref="CE17:CE60" si="45">(1-CD17)</f>
        <v>#DIV/0!</v>
      </c>
      <c r="DN17">
        <f t="shared" ref="DN17:DN60" si="46">$D$11*EM17+$E$11*EN17+$H$11*EY17*(1-FB17)</f>
        <v>5.0001799999999999E-2</v>
      </c>
      <c r="DO17">
        <f t="shared" ref="DO17:DO60" si="47">DN17*DP17</f>
        <v>2.1001512027215997E-2</v>
      </c>
      <c r="DP17">
        <f t="shared" ref="DP17:DP60" si="48">($D$11*$F$9+$E$11*$F$9+$H$11*((FL17+FD17)/MAX(FL17+FD17+FM17, 0.1)*$K$9+FM17/MAX(FL17+FD17+FM17, 0.1)*$L$9))/($D$11+$E$11+$H$11)</f>
        <v>0.42001511999999996</v>
      </c>
      <c r="DQ17">
        <f t="shared" ref="DQ17:DQ60" si="49">($D$11*$M$9+$E$11*$M$9+$H$11*((FL17+FD17)/MAX(FL17+FD17+FM17, 0.1)*$R$9+FM17/MAX(FL17+FD17+FM17, 0.1)*$S$9))/($D$11+$E$11+$H$11)</f>
        <v>9.5003419999999991E-2</v>
      </c>
      <c r="DR17">
        <v>6</v>
      </c>
      <c r="DS17">
        <v>0.5</v>
      </c>
      <c r="DT17" t="s">
        <v>440</v>
      </c>
      <c r="DU17">
        <v>2</v>
      </c>
      <c r="DV17" t="b">
        <v>1</v>
      </c>
      <c r="DW17">
        <v>1707836927</v>
      </c>
      <c r="DX17">
        <v>401.666</v>
      </c>
      <c r="DY17">
        <v>399.97500000000002</v>
      </c>
      <c r="DZ17">
        <v>0.99715200000000004</v>
      </c>
      <c r="EA17">
        <v>0.151501</v>
      </c>
      <c r="EB17">
        <v>403.64699999999999</v>
      </c>
      <c r="EC17">
        <v>1.0901400000000001</v>
      </c>
      <c r="ED17">
        <v>700.11500000000001</v>
      </c>
      <c r="EE17">
        <v>101.967</v>
      </c>
      <c r="EF17">
        <v>6.3007099999999996E-2</v>
      </c>
      <c r="EG17">
        <v>16.075399999999998</v>
      </c>
      <c r="EH17">
        <v>15.9086</v>
      </c>
      <c r="EI17">
        <v>999.9</v>
      </c>
      <c r="EJ17">
        <v>0</v>
      </c>
      <c r="EK17">
        <v>0</v>
      </c>
      <c r="EL17">
        <v>9993</v>
      </c>
      <c r="EM17">
        <v>0</v>
      </c>
      <c r="EN17">
        <v>1.5289399999999999E-3</v>
      </c>
      <c r="EO17">
        <v>1.6914100000000001</v>
      </c>
      <c r="EP17">
        <v>402.06700000000001</v>
      </c>
      <c r="EQ17">
        <v>400.036</v>
      </c>
      <c r="ER17">
        <v>0.84565100000000004</v>
      </c>
      <c r="ES17">
        <v>399.97500000000002</v>
      </c>
      <c r="ET17">
        <v>0.151501</v>
      </c>
      <c r="EU17">
        <v>0.101677</v>
      </c>
      <c r="EV17">
        <v>1.5448099999999999E-2</v>
      </c>
      <c r="EW17">
        <v>-22.444700000000001</v>
      </c>
      <c r="EX17">
        <v>-41.8825</v>
      </c>
      <c r="EY17">
        <v>5.0001799999999999E-2</v>
      </c>
      <c r="EZ17">
        <v>0</v>
      </c>
      <c r="FA17">
        <v>0</v>
      </c>
      <c r="FB17">
        <v>0</v>
      </c>
      <c r="FC17">
        <v>334.62</v>
      </c>
      <c r="FD17">
        <v>5.0001799999999999E-2</v>
      </c>
      <c r="FE17">
        <v>223.47</v>
      </c>
      <c r="FF17">
        <v>6.72</v>
      </c>
      <c r="FG17">
        <v>26.375</v>
      </c>
      <c r="FH17">
        <v>32.25</v>
      </c>
      <c r="FI17">
        <v>29.375</v>
      </c>
      <c r="FJ17">
        <v>33.875</v>
      </c>
      <c r="FK17">
        <v>29.187000000000001</v>
      </c>
      <c r="FL17">
        <v>0</v>
      </c>
      <c r="FM17">
        <v>0</v>
      </c>
      <c r="FN17">
        <v>0</v>
      </c>
      <c r="FO17">
        <v>1685731335.7</v>
      </c>
      <c r="FP17">
        <v>0</v>
      </c>
      <c r="FQ17">
        <v>337.35960000000011</v>
      </c>
      <c r="FR17">
        <v>-19.922307604703121</v>
      </c>
      <c r="FS17">
        <v>8.4030768321110152</v>
      </c>
      <c r="FT17">
        <v>217.16120000000001</v>
      </c>
      <c r="FU17">
        <v>15</v>
      </c>
      <c r="FV17">
        <v>0</v>
      </c>
      <c r="FW17" t="s">
        <v>441</v>
      </c>
      <c r="FX17">
        <v>1755807717.5</v>
      </c>
      <c r="FY17">
        <v>1755807720.5</v>
      </c>
      <c r="FZ17">
        <v>0</v>
      </c>
      <c r="GA17">
        <v>-0.11700000000000001</v>
      </c>
      <c r="GB17">
        <v>-1.6E-2</v>
      </c>
      <c r="GC17">
        <v>-2.0089999999999999</v>
      </c>
      <c r="GD17">
        <v>0.03</v>
      </c>
      <c r="GE17">
        <v>420</v>
      </c>
      <c r="GF17">
        <v>15</v>
      </c>
      <c r="GG17">
        <v>0.09</v>
      </c>
      <c r="GH17">
        <v>0.01</v>
      </c>
      <c r="GI17">
        <v>-4.3290776725611284</v>
      </c>
      <c r="GJ17">
        <v>62.66096791595789</v>
      </c>
      <c r="GK17">
        <v>12.20190799963521</v>
      </c>
      <c r="GL17">
        <v>0</v>
      </c>
      <c r="GM17">
        <v>7.4146256984733427E-2</v>
      </c>
      <c r="GN17">
        <v>-0.72697206939558845</v>
      </c>
      <c r="GO17">
        <v>0.16676601087622669</v>
      </c>
      <c r="GP17">
        <v>0</v>
      </c>
      <c r="GQ17">
        <v>0</v>
      </c>
      <c r="GR17">
        <v>2</v>
      </c>
      <c r="GS17" t="s">
        <v>442</v>
      </c>
      <c r="GT17">
        <v>3.3614299999999999</v>
      </c>
      <c r="GU17">
        <v>2.7571699999999999</v>
      </c>
      <c r="GV17">
        <v>9.99887E-2</v>
      </c>
      <c r="GW17">
        <v>9.9014199999999997E-2</v>
      </c>
      <c r="GX17">
        <v>9.1274500000000005E-3</v>
      </c>
      <c r="GY17">
        <v>1.34362E-3</v>
      </c>
      <c r="GZ17">
        <v>21580.400000000001</v>
      </c>
      <c r="HA17">
        <v>22258</v>
      </c>
      <c r="HB17">
        <v>25415.9</v>
      </c>
      <c r="HC17">
        <v>26095.3</v>
      </c>
      <c r="HD17">
        <v>38349</v>
      </c>
      <c r="HE17">
        <v>38874.800000000003</v>
      </c>
      <c r="HF17">
        <v>42549</v>
      </c>
      <c r="HG17">
        <v>42118.9</v>
      </c>
      <c r="HH17">
        <v>2.5364</v>
      </c>
      <c r="HI17">
        <v>2.6013000000000002</v>
      </c>
      <c r="HJ17">
        <v>7.1281200000000003E-2</v>
      </c>
      <c r="HK17">
        <v>0</v>
      </c>
      <c r="HL17">
        <v>14.7202</v>
      </c>
      <c r="HM17">
        <v>999.9</v>
      </c>
      <c r="HN17">
        <v>37.299999999999997</v>
      </c>
      <c r="HO17">
        <v>17.2</v>
      </c>
      <c r="HP17">
        <v>7.20364</v>
      </c>
      <c r="HQ17">
        <v>61.26</v>
      </c>
      <c r="HR17">
        <v>7.6843000000000004</v>
      </c>
      <c r="HS17">
        <v>2</v>
      </c>
      <c r="HT17">
        <v>-0.87836800000000004</v>
      </c>
      <c r="HU17">
        <v>0</v>
      </c>
      <c r="HV17">
        <v>20.379899999999999</v>
      </c>
      <c r="HW17">
        <v>5.2085400000000002</v>
      </c>
      <c r="HX17">
        <v>11.902100000000001</v>
      </c>
      <c r="HY17">
        <v>4.9935999999999998</v>
      </c>
      <c r="HZ17">
        <v>3.2811599999999999</v>
      </c>
      <c r="IA17">
        <v>9999</v>
      </c>
      <c r="IB17">
        <v>9999</v>
      </c>
      <c r="IC17">
        <v>9999</v>
      </c>
      <c r="ID17">
        <v>148.5</v>
      </c>
      <c r="IE17">
        <v>4.9718299999999997</v>
      </c>
      <c r="IF17">
        <v>1.8573</v>
      </c>
      <c r="IG17">
        <v>1.8667400000000001</v>
      </c>
      <c r="IH17">
        <v>1.86172</v>
      </c>
      <c r="II17">
        <v>1.8641700000000001</v>
      </c>
      <c r="IJ17">
        <v>1.8602300000000001</v>
      </c>
      <c r="IK17">
        <v>1.8627899999999999</v>
      </c>
      <c r="IL17">
        <v>1.86019</v>
      </c>
      <c r="IM17">
        <v>0</v>
      </c>
      <c r="IN17">
        <v>0</v>
      </c>
      <c r="IO17">
        <v>0</v>
      </c>
      <c r="IP17">
        <v>0</v>
      </c>
      <c r="IQ17" t="s">
        <v>443</v>
      </c>
      <c r="IR17" t="s">
        <v>444</v>
      </c>
      <c r="IS17" t="s">
        <v>445</v>
      </c>
      <c r="IT17" t="s">
        <v>445</v>
      </c>
      <c r="IU17" t="s">
        <v>445</v>
      </c>
      <c r="IV17" t="s">
        <v>445</v>
      </c>
      <c r="IW17">
        <v>0</v>
      </c>
      <c r="IX17">
        <v>100</v>
      </c>
      <c r="IY17">
        <v>100</v>
      </c>
      <c r="IZ17">
        <v>-1.9810000000000001</v>
      </c>
      <c r="JA17">
        <v>-9.2999999999999999E-2</v>
      </c>
      <c r="JB17">
        <v>-1.140465381763482</v>
      </c>
      <c r="JC17">
        <v>-2.4932477295996069E-3</v>
      </c>
      <c r="JD17">
        <v>1.159696634280317E-6</v>
      </c>
      <c r="JE17">
        <v>-3.5013845820821591E-10</v>
      </c>
      <c r="JF17">
        <v>-8.6309180691159976E-2</v>
      </c>
      <c r="JG17">
        <v>-7.5935071553627593E-3</v>
      </c>
      <c r="JH17">
        <v>1.367325239740887E-3</v>
      </c>
      <c r="JI17">
        <v>-2.2944115828177239E-5</v>
      </c>
      <c r="JJ17">
        <v>2</v>
      </c>
      <c r="JK17">
        <v>2118</v>
      </c>
      <c r="JL17">
        <v>1</v>
      </c>
      <c r="JM17">
        <v>27</v>
      </c>
      <c r="JN17">
        <v>-799513.2</v>
      </c>
      <c r="JO17">
        <v>-799513.2</v>
      </c>
      <c r="JP17">
        <v>1.24878</v>
      </c>
      <c r="JQ17">
        <v>2.4279799999999998</v>
      </c>
      <c r="JR17">
        <v>2.19604</v>
      </c>
      <c r="JS17">
        <v>2.7246100000000002</v>
      </c>
      <c r="JT17">
        <v>2.1496599999999999</v>
      </c>
      <c r="JU17">
        <v>2.3938000000000001</v>
      </c>
      <c r="JV17">
        <v>21.2986</v>
      </c>
      <c r="JW17">
        <v>15.603</v>
      </c>
      <c r="JX17">
        <v>18</v>
      </c>
      <c r="JY17">
        <v>667.94299999999998</v>
      </c>
      <c r="JZ17">
        <v>804.82399999999996</v>
      </c>
      <c r="KA17">
        <v>15.6958</v>
      </c>
      <c r="KB17">
        <v>15.452199999999999</v>
      </c>
      <c r="KC17">
        <v>30.000299999999999</v>
      </c>
      <c r="KD17">
        <v>15.4381</v>
      </c>
      <c r="KE17">
        <v>15.4391</v>
      </c>
      <c r="KF17">
        <v>25.088100000000001</v>
      </c>
      <c r="KG17">
        <v>100</v>
      </c>
      <c r="KH17">
        <v>0</v>
      </c>
      <c r="KI17">
        <v>-999.9</v>
      </c>
      <c r="KJ17">
        <v>400</v>
      </c>
      <c r="KK17">
        <v>0</v>
      </c>
      <c r="KL17">
        <v>103.092</v>
      </c>
      <c r="KM17">
        <v>103.093</v>
      </c>
    </row>
    <row r="18" spans="1:299" x14ac:dyDescent="0.2">
      <c r="B18" t="s">
        <v>538</v>
      </c>
      <c r="C18">
        <v>2</v>
      </c>
      <c r="D18">
        <v>1707837319.5</v>
      </c>
      <c r="E18">
        <v>392.5</v>
      </c>
      <c r="F18" t="s">
        <v>446</v>
      </c>
      <c r="G18" t="s">
        <v>447</v>
      </c>
      <c r="H18" t="s">
        <v>436</v>
      </c>
      <c r="I18" t="s">
        <v>437</v>
      </c>
      <c r="J18" t="s">
        <v>438</v>
      </c>
      <c r="M18" t="s">
        <v>438</v>
      </c>
      <c r="O18">
        <v>1707837319.5</v>
      </c>
      <c r="P18">
        <f t="shared" si="0"/>
        <v>4.909387478753683E-4</v>
      </c>
      <c r="Q18">
        <f t="shared" si="1"/>
        <v>0.49093874787536834</v>
      </c>
      <c r="R18">
        <f t="shared" si="2"/>
        <v>1.096786293399467</v>
      </c>
      <c r="S18">
        <f t="shared" si="3"/>
        <v>406.16199999999998</v>
      </c>
      <c r="T18">
        <f t="shared" si="4"/>
        <v>338.75882118171404</v>
      </c>
      <c r="U18">
        <f t="shared" si="5"/>
        <v>34.558171280158824</v>
      </c>
      <c r="V18">
        <f t="shared" si="6"/>
        <v>41.434244913618599</v>
      </c>
      <c r="W18">
        <f t="shared" si="7"/>
        <v>3.0524783020810176E-2</v>
      </c>
      <c r="X18">
        <f t="shared" si="8"/>
        <v>2.9596793730998843</v>
      </c>
      <c r="Y18">
        <f t="shared" si="9"/>
        <v>3.0350959066682587E-2</v>
      </c>
      <c r="Z18">
        <f t="shared" si="10"/>
        <v>1.8984884147050515E-2</v>
      </c>
      <c r="AA18">
        <f t="shared" si="11"/>
        <v>19.566048551023016</v>
      </c>
      <c r="AB18">
        <f t="shared" si="12"/>
        <v>15.993336533769105</v>
      </c>
      <c r="AC18">
        <f t="shared" si="13"/>
        <v>15.9764</v>
      </c>
      <c r="AD18">
        <f t="shared" si="14"/>
        <v>1.8219510035591657</v>
      </c>
      <c r="AE18">
        <f t="shared" si="15"/>
        <v>10.304284430785106</v>
      </c>
      <c r="AF18">
        <f t="shared" si="16"/>
        <v>0.18808948991272803</v>
      </c>
      <c r="AG18">
        <f t="shared" si="17"/>
        <v>1.8253522714376109</v>
      </c>
      <c r="AH18">
        <f t="shared" si="18"/>
        <v>1.6338615136464376</v>
      </c>
      <c r="AI18">
        <f t="shared" si="19"/>
        <v>-21.650398781303743</v>
      </c>
      <c r="AJ18">
        <f t="shared" si="20"/>
        <v>4.6592172433869754</v>
      </c>
      <c r="AK18">
        <f t="shared" si="21"/>
        <v>0.30369137447489059</v>
      </c>
      <c r="AL18">
        <f t="shared" si="22"/>
        <v>2.8785583875811396</v>
      </c>
      <c r="AM18">
        <f t="shared" si="23"/>
        <v>-7.949816496679011</v>
      </c>
      <c r="AN18">
        <f t="shared" si="24"/>
        <v>1.9700871984062664</v>
      </c>
      <c r="AO18">
        <f t="shared" si="25"/>
        <v>1.096786293399467</v>
      </c>
      <c r="AP18">
        <v>400.10616565126497</v>
      </c>
      <c r="AQ18">
        <v>407.72201212121217</v>
      </c>
      <c r="AR18">
        <v>-2.108639912612877</v>
      </c>
      <c r="AS18">
        <v>66.968540495852451</v>
      </c>
      <c r="AT18">
        <f t="shared" si="26"/>
        <v>0.49093874787536834</v>
      </c>
      <c r="AU18">
        <v>0.1580356078639738</v>
      </c>
      <c r="AV18">
        <v>1.936034303030302</v>
      </c>
      <c r="AW18">
        <v>-0.28562449938504791</v>
      </c>
      <c r="AX18">
        <v>78.466230637818143</v>
      </c>
      <c r="AY18">
        <v>44</v>
      </c>
      <c r="AZ18">
        <v>6</v>
      </c>
      <c r="BA18">
        <f t="shared" si="27"/>
        <v>1</v>
      </c>
      <c r="BB18">
        <f t="shared" si="28"/>
        <v>0</v>
      </c>
      <c r="BC18">
        <f t="shared" si="29"/>
        <v>55842.043454702391</v>
      </c>
      <c r="BD18" t="s">
        <v>439</v>
      </c>
      <c r="BE18" t="s">
        <v>439</v>
      </c>
      <c r="BF18">
        <v>0</v>
      </c>
      <c r="BG18">
        <v>0</v>
      </c>
      <c r="BH18" t="e">
        <f t="shared" si="30"/>
        <v>#DIV/0!</v>
      </c>
      <c r="BI18">
        <v>0</v>
      </c>
      <c r="BJ18" t="s">
        <v>439</v>
      </c>
      <c r="BK18" t="s">
        <v>439</v>
      </c>
      <c r="BL18">
        <v>0</v>
      </c>
      <c r="BM18">
        <v>0</v>
      </c>
      <c r="BN18" t="e">
        <f t="shared" si="31"/>
        <v>#DIV/0!</v>
      </c>
      <c r="BO18">
        <v>0.5</v>
      </c>
      <c r="BP18">
        <f t="shared" si="32"/>
        <v>84.262983775511515</v>
      </c>
      <c r="BQ18">
        <f t="shared" si="33"/>
        <v>1.096786293399467</v>
      </c>
      <c r="BR18" t="e">
        <f t="shared" si="34"/>
        <v>#DIV/0!</v>
      </c>
      <c r="BS18">
        <f t="shared" si="35"/>
        <v>1.3016229004202611E-2</v>
      </c>
      <c r="BT18" t="e">
        <f t="shared" si="36"/>
        <v>#DIV/0!</v>
      </c>
      <c r="BU18" t="e">
        <f t="shared" si="37"/>
        <v>#DIV/0!</v>
      </c>
      <c r="BV18" t="s">
        <v>439</v>
      </c>
      <c r="BW18">
        <v>0</v>
      </c>
      <c r="BX18" t="e">
        <f t="shared" si="38"/>
        <v>#DIV/0!</v>
      </c>
      <c r="BY18" t="e">
        <f t="shared" si="39"/>
        <v>#DIV/0!</v>
      </c>
      <c r="BZ18" t="e">
        <f t="shared" si="40"/>
        <v>#DIV/0!</v>
      </c>
      <c r="CA18" t="e">
        <f t="shared" si="41"/>
        <v>#DIV/0!</v>
      </c>
      <c r="CB18" t="e">
        <f t="shared" si="42"/>
        <v>#DIV/0!</v>
      </c>
      <c r="CC18" t="e">
        <f t="shared" si="43"/>
        <v>#DIV/0!</v>
      </c>
      <c r="CD18" t="e">
        <f t="shared" si="44"/>
        <v>#DIV/0!</v>
      </c>
      <c r="CE18" t="e">
        <f t="shared" si="45"/>
        <v>#DIV/0!</v>
      </c>
      <c r="DN18">
        <f t="shared" si="46"/>
        <v>99.973100000000002</v>
      </c>
      <c r="DO18">
        <f t="shared" si="47"/>
        <v>84.262983775511515</v>
      </c>
      <c r="DP18">
        <f t="shared" si="48"/>
        <v>0.84285656617141524</v>
      </c>
      <c r="DQ18">
        <f t="shared" si="49"/>
        <v>0.19571313234283039</v>
      </c>
      <c r="DR18">
        <v>6</v>
      </c>
      <c r="DS18">
        <v>0.5</v>
      </c>
      <c r="DT18" t="s">
        <v>440</v>
      </c>
      <c r="DU18">
        <v>2</v>
      </c>
      <c r="DV18" t="b">
        <v>1</v>
      </c>
      <c r="DW18">
        <v>1707837319.5</v>
      </c>
      <c r="DX18">
        <v>406.16199999999998</v>
      </c>
      <c r="DY18">
        <v>400.03300000000002</v>
      </c>
      <c r="DZ18">
        <v>1.8437600000000001</v>
      </c>
      <c r="EA18">
        <v>0.158025</v>
      </c>
      <c r="EB18">
        <v>408.15100000000001</v>
      </c>
      <c r="EC18">
        <v>1.9398200000000001</v>
      </c>
      <c r="ED18">
        <v>699.91600000000005</v>
      </c>
      <c r="EE18">
        <v>101.952</v>
      </c>
      <c r="EF18">
        <v>6.2085300000000003E-2</v>
      </c>
      <c r="EG18">
        <v>16.005600000000001</v>
      </c>
      <c r="EH18">
        <v>15.9764</v>
      </c>
      <c r="EI18">
        <v>999.9</v>
      </c>
      <c r="EJ18">
        <v>0</v>
      </c>
      <c r="EK18">
        <v>0</v>
      </c>
      <c r="EL18">
        <v>9978</v>
      </c>
      <c r="EM18">
        <v>0</v>
      </c>
      <c r="EN18">
        <v>1.5289399999999999E-3</v>
      </c>
      <c r="EO18">
        <v>6.1290899999999997</v>
      </c>
      <c r="EP18">
        <v>406.91199999999998</v>
      </c>
      <c r="EQ18">
        <v>400.096</v>
      </c>
      <c r="ER18">
        <v>1.68574</v>
      </c>
      <c r="ES18">
        <v>400.03300000000002</v>
      </c>
      <c r="ET18">
        <v>0.158025</v>
      </c>
      <c r="EU18">
        <v>0.187975</v>
      </c>
      <c r="EV18">
        <v>1.6110900000000001E-2</v>
      </c>
      <c r="EW18">
        <v>-15.257899999999999</v>
      </c>
      <c r="EX18">
        <v>-41.486899999999999</v>
      </c>
      <c r="EY18">
        <v>99.973100000000002</v>
      </c>
      <c r="EZ18">
        <v>0.89980499999999997</v>
      </c>
      <c r="FA18">
        <v>0.10019500000000001</v>
      </c>
      <c r="FB18">
        <v>0</v>
      </c>
      <c r="FC18">
        <v>748.51199999999994</v>
      </c>
      <c r="FD18">
        <v>5.0001800000000003</v>
      </c>
      <c r="FE18">
        <v>1068.6600000000001</v>
      </c>
      <c r="FF18">
        <v>795.81200000000001</v>
      </c>
      <c r="FG18">
        <v>28.25</v>
      </c>
      <c r="FH18">
        <v>33.311999999999998</v>
      </c>
      <c r="FI18">
        <v>30.875</v>
      </c>
      <c r="FJ18">
        <v>35.561999999999998</v>
      </c>
      <c r="FK18">
        <v>31</v>
      </c>
      <c r="FL18">
        <v>85.46</v>
      </c>
      <c r="FM18">
        <v>9.52</v>
      </c>
      <c r="FN18">
        <v>0</v>
      </c>
      <c r="FO18">
        <v>1685731728.8</v>
      </c>
      <c r="FP18">
        <v>0</v>
      </c>
      <c r="FQ18">
        <v>737.30046153846149</v>
      </c>
      <c r="FR18">
        <v>5.4189397318619221</v>
      </c>
      <c r="FS18">
        <v>503.32670019871028</v>
      </c>
      <c r="FT18">
        <v>1030.7477692307691</v>
      </c>
      <c r="FU18">
        <v>15</v>
      </c>
      <c r="FV18">
        <v>0</v>
      </c>
      <c r="FW18" t="s">
        <v>441</v>
      </c>
      <c r="FX18">
        <v>1755807717.5</v>
      </c>
      <c r="FY18">
        <v>1755807720.5</v>
      </c>
      <c r="FZ18">
        <v>0</v>
      </c>
      <c r="GA18">
        <v>-0.11700000000000001</v>
      </c>
      <c r="GB18">
        <v>-1.6E-2</v>
      </c>
      <c r="GC18">
        <v>-2.0089999999999999</v>
      </c>
      <c r="GD18">
        <v>0.03</v>
      </c>
      <c r="GE18">
        <v>420</v>
      </c>
      <c r="GF18">
        <v>15</v>
      </c>
      <c r="GG18">
        <v>0.09</v>
      </c>
      <c r="GH18">
        <v>0.01</v>
      </c>
      <c r="GI18">
        <v>-52.576077856403728</v>
      </c>
      <c r="GJ18">
        <v>490.81069665960081</v>
      </c>
      <c r="GK18">
        <v>50.09151469116771</v>
      </c>
      <c r="GL18">
        <v>0</v>
      </c>
      <c r="GM18">
        <v>2.3478983409017218</v>
      </c>
      <c r="GN18">
        <v>-27.589359233311889</v>
      </c>
      <c r="GO18">
        <v>3.1128977618800442</v>
      </c>
      <c r="GP18">
        <v>0</v>
      </c>
      <c r="GQ18">
        <v>0</v>
      </c>
      <c r="GR18">
        <v>2</v>
      </c>
      <c r="GS18" t="s">
        <v>442</v>
      </c>
      <c r="GT18">
        <v>3.3611800000000001</v>
      </c>
      <c r="GU18">
        <v>2.7561200000000001</v>
      </c>
      <c r="GV18">
        <v>0.10073500000000001</v>
      </c>
      <c r="GW18">
        <v>9.8929100000000006E-2</v>
      </c>
      <c r="GX18">
        <v>1.5581599999999999E-2</v>
      </c>
      <c r="GY18">
        <v>1.3992E-3</v>
      </c>
      <c r="GZ18">
        <v>21540.1</v>
      </c>
      <c r="HA18">
        <v>22236.400000000001</v>
      </c>
      <c r="HB18">
        <v>25391</v>
      </c>
      <c r="HC18">
        <v>26069.5</v>
      </c>
      <c r="HD18">
        <v>38061.1</v>
      </c>
      <c r="HE18">
        <v>38840.199999999997</v>
      </c>
      <c r="HF18">
        <v>42507.5</v>
      </c>
      <c r="HG18">
        <v>42084.1</v>
      </c>
      <c r="HH18">
        <v>2.4841600000000001</v>
      </c>
      <c r="HI18">
        <v>2.59198</v>
      </c>
      <c r="HJ18">
        <v>9.04977E-2</v>
      </c>
      <c r="HK18">
        <v>0</v>
      </c>
      <c r="HL18">
        <v>14.4673</v>
      </c>
      <c r="HM18">
        <v>999.9</v>
      </c>
      <c r="HN18">
        <v>40.299999999999997</v>
      </c>
      <c r="HO18">
        <v>17.3</v>
      </c>
      <c r="HP18">
        <v>7.83392</v>
      </c>
      <c r="HQ18">
        <v>61.18</v>
      </c>
      <c r="HR18">
        <v>7.62019</v>
      </c>
      <c r="HS18">
        <v>2</v>
      </c>
      <c r="HT18">
        <v>-0.84665900000000005</v>
      </c>
      <c r="HU18">
        <v>0</v>
      </c>
      <c r="HV18">
        <v>20.378499999999999</v>
      </c>
      <c r="HW18">
        <v>5.2109399999999999</v>
      </c>
      <c r="HX18">
        <v>11.902100000000001</v>
      </c>
      <c r="HY18">
        <v>4.99376</v>
      </c>
      <c r="HZ18">
        <v>3.2811599999999999</v>
      </c>
      <c r="IA18">
        <v>9999</v>
      </c>
      <c r="IB18">
        <v>9999</v>
      </c>
      <c r="IC18">
        <v>9999</v>
      </c>
      <c r="ID18">
        <v>148.6</v>
      </c>
      <c r="IE18">
        <v>4.9718299999999997</v>
      </c>
      <c r="IF18">
        <v>1.8573</v>
      </c>
      <c r="IG18">
        <v>1.8667499999999999</v>
      </c>
      <c r="IH18">
        <v>1.8617300000000001</v>
      </c>
      <c r="II18">
        <v>1.8641700000000001</v>
      </c>
      <c r="IJ18">
        <v>1.8602700000000001</v>
      </c>
      <c r="IK18">
        <v>1.8627899999999999</v>
      </c>
      <c r="IL18">
        <v>1.8601700000000001</v>
      </c>
      <c r="IM18">
        <v>0</v>
      </c>
      <c r="IN18">
        <v>0</v>
      </c>
      <c r="IO18">
        <v>0</v>
      </c>
      <c r="IP18">
        <v>0</v>
      </c>
      <c r="IQ18" t="s">
        <v>443</v>
      </c>
      <c r="IR18" t="s">
        <v>444</v>
      </c>
      <c r="IS18" t="s">
        <v>445</v>
      </c>
      <c r="IT18" t="s">
        <v>445</v>
      </c>
      <c r="IU18" t="s">
        <v>445</v>
      </c>
      <c r="IV18" t="s">
        <v>445</v>
      </c>
      <c r="IW18">
        <v>0</v>
      </c>
      <c r="IX18">
        <v>100</v>
      </c>
      <c r="IY18">
        <v>100</v>
      </c>
      <c r="IZ18">
        <v>-1.9890000000000001</v>
      </c>
      <c r="JA18">
        <v>-9.6100000000000005E-2</v>
      </c>
      <c r="JB18">
        <v>-1.140465381763482</v>
      </c>
      <c r="JC18">
        <v>-2.4932477295996069E-3</v>
      </c>
      <c r="JD18">
        <v>1.159696634280317E-6</v>
      </c>
      <c r="JE18">
        <v>-3.5013845820821591E-10</v>
      </c>
      <c r="JF18">
        <v>-8.6309180691159976E-2</v>
      </c>
      <c r="JG18">
        <v>-7.5935071553627593E-3</v>
      </c>
      <c r="JH18">
        <v>1.367325239740887E-3</v>
      </c>
      <c r="JI18">
        <v>-2.2944115828177239E-5</v>
      </c>
      <c r="JJ18">
        <v>2</v>
      </c>
      <c r="JK18">
        <v>2118</v>
      </c>
      <c r="JL18">
        <v>1</v>
      </c>
      <c r="JM18">
        <v>27</v>
      </c>
      <c r="JN18">
        <v>-799506.6</v>
      </c>
      <c r="JO18">
        <v>-799506.7</v>
      </c>
      <c r="JP18">
        <v>1.25</v>
      </c>
      <c r="JQ18">
        <v>2.4304199999999998</v>
      </c>
      <c r="JR18">
        <v>2.19604</v>
      </c>
      <c r="JS18">
        <v>2.7209500000000002</v>
      </c>
      <c r="JT18">
        <v>2.1496599999999999</v>
      </c>
      <c r="JU18">
        <v>2.4145500000000002</v>
      </c>
      <c r="JV18">
        <v>21.4392</v>
      </c>
      <c r="JW18">
        <v>15.515499999999999</v>
      </c>
      <c r="JX18">
        <v>18</v>
      </c>
      <c r="JY18">
        <v>636.57399999999996</v>
      </c>
      <c r="JZ18">
        <v>801.89</v>
      </c>
      <c r="KA18">
        <v>15.636100000000001</v>
      </c>
      <c r="KB18">
        <v>15.825100000000001</v>
      </c>
      <c r="KC18">
        <v>30.000399999999999</v>
      </c>
      <c r="KD18">
        <v>15.776899999999999</v>
      </c>
      <c r="KE18">
        <v>15.753</v>
      </c>
      <c r="KF18">
        <v>25.0884</v>
      </c>
      <c r="KG18">
        <v>100</v>
      </c>
      <c r="KH18">
        <v>0</v>
      </c>
      <c r="KI18">
        <v>-999.9</v>
      </c>
      <c r="KJ18">
        <v>400</v>
      </c>
      <c r="KK18">
        <v>0</v>
      </c>
      <c r="KL18">
        <v>102.991</v>
      </c>
      <c r="KM18">
        <v>103.002</v>
      </c>
    </row>
    <row r="19" spans="1:299" x14ac:dyDescent="0.2">
      <c r="A19">
        <v>3</v>
      </c>
      <c r="B19" t="s">
        <v>538</v>
      </c>
      <c r="C19">
        <v>3</v>
      </c>
      <c r="D19">
        <v>1707837396</v>
      </c>
      <c r="E19">
        <v>469</v>
      </c>
      <c r="F19" t="s">
        <v>448</v>
      </c>
      <c r="G19" t="s">
        <v>449</v>
      </c>
      <c r="H19" t="s">
        <v>436</v>
      </c>
      <c r="I19" t="s">
        <v>437</v>
      </c>
      <c r="J19" t="s">
        <v>438</v>
      </c>
      <c r="M19" t="s">
        <v>438</v>
      </c>
      <c r="O19">
        <v>1707837396</v>
      </c>
      <c r="P19">
        <f t="shared" si="0"/>
        <v>7.2636772542722123E-4</v>
      </c>
      <c r="Q19">
        <f t="shared" si="1"/>
        <v>0.72636772542722128</v>
      </c>
      <c r="R19">
        <f t="shared" si="2"/>
        <v>0.268894110180599</v>
      </c>
      <c r="S19">
        <f t="shared" si="3"/>
        <v>402.065</v>
      </c>
      <c r="T19">
        <f t="shared" si="4"/>
        <v>382.50198204597064</v>
      </c>
      <c r="U19">
        <f t="shared" si="5"/>
        <v>39.020748600429464</v>
      </c>
      <c r="V19">
        <f t="shared" si="6"/>
        <v>41.016460103325997</v>
      </c>
      <c r="W19">
        <f t="shared" si="7"/>
        <v>4.5627706952016109E-2</v>
      </c>
      <c r="X19">
        <f t="shared" si="8"/>
        <v>2.9674267304979383</v>
      </c>
      <c r="Y19">
        <f t="shared" si="9"/>
        <v>4.524150161699822E-2</v>
      </c>
      <c r="Z19">
        <f t="shared" si="10"/>
        <v>2.8310364923196378E-2</v>
      </c>
      <c r="AA19">
        <f t="shared" si="11"/>
        <v>19.567320686383248</v>
      </c>
      <c r="AB19">
        <f t="shared" si="12"/>
        <v>15.977739999616993</v>
      </c>
      <c r="AC19">
        <f t="shared" si="13"/>
        <v>15.4876</v>
      </c>
      <c r="AD19">
        <f t="shared" si="14"/>
        <v>1.7658352383127129</v>
      </c>
      <c r="AE19">
        <f t="shared" si="15"/>
        <v>7.8269595215883765</v>
      </c>
      <c r="AF19">
        <f t="shared" si="16"/>
        <v>0.14328344639181598</v>
      </c>
      <c r="AG19">
        <f t="shared" si="17"/>
        <v>1.8306399310819295</v>
      </c>
      <c r="AH19">
        <f t="shared" si="18"/>
        <v>1.6225517919208969</v>
      </c>
      <c r="AI19">
        <f t="shared" si="19"/>
        <v>-32.032816691340457</v>
      </c>
      <c r="AJ19">
        <f t="shared" si="20"/>
        <v>90.116683243630632</v>
      </c>
      <c r="AK19">
        <f t="shared" si="21"/>
        <v>5.8450691071036101</v>
      </c>
      <c r="AL19">
        <f t="shared" si="22"/>
        <v>83.496256345777027</v>
      </c>
      <c r="AM19">
        <f t="shared" si="23"/>
        <v>-2.9468226533848427</v>
      </c>
      <c r="AN19">
        <f t="shared" si="24"/>
        <v>1.4553834165739148</v>
      </c>
      <c r="AO19">
        <f t="shared" si="25"/>
        <v>0.268894110180599</v>
      </c>
      <c r="AP19">
        <v>400.08766561474408</v>
      </c>
      <c r="AQ19">
        <v>402.94529090909089</v>
      </c>
      <c r="AR19">
        <v>-0.76137476536742144</v>
      </c>
      <c r="AS19">
        <v>66.968618307308674</v>
      </c>
      <c r="AT19">
        <f t="shared" si="26"/>
        <v>0.72636772542722128</v>
      </c>
      <c r="AU19">
        <v>0.15896566632897899</v>
      </c>
      <c r="AV19">
        <v>1.4537243636363639</v>
      </c>
      <c r="AW19">
        <v>-0.14164028289255201</v>
      </c>
      <c r="AX19">
        <v>78.469703349394237</v>
      </c>
      <c r="AY19">
        <v>8</v>
      </c>
      <c r="AZ19">
        <v>1</v>
      </c>
      <c r="BA19">
        <f t="shared" si="27"/>
        <v>1</v>
      </c>
      <c r="BB19">
        <f t="shared" si="28"/>
        <v>0</v>
      </c>
      <c r="BC19">
        <f t="shared" si="29"/>
        <v>56068.865793552483</v>
      </c>
      <c r="BD19" t="s">
        <v>439</v>
      </c>
      <c r="BE19" t="s">
        <v>439</v>
      </c>
      <c r="BF19">
        <v>0</v>
      </c>
      <c r="BG19">
        <v>0</v>
      </c>
      <c r="BH19" t="e">
        <f t="shared" si="30"/>
        <v>#DIV/0!</v>
      </c>
      <c r="BI19">
        <v>0</v>
      </c>
      <c r="BJ19" t="s">
        <v>439</v>
      </c>
      <c r="BK19" t="s">
        <v>439</v>
      </c>
      <c r="BL19">
        <v>0</v>
      </c>
      <c r="BM19">
        <v>0</v>
      </c>
      <c r="BN19" t="e">
        <f t="shared" si="31"/>
        <v>#DIV/0!</v>
      </c>
      <c r="BO19">
        <v>0.5</v>
      </c>
      <c r="BP19">
        <f t="shared" si="32"/>
        <v>84.268462343191629</v>
      </c>
      <c r="BQ19">
        <f t="shared" si="33"/>
        <v>0.268894110180599</v>
      </c>
      <c r="BR19" t="e">
        <f t="shared" si="34"/>
        <v>#DIV/0!</v>
      </c>
      <c r="BS19">
        <f t="shared" si="35"/>
        <v>3.1909222347679873E-3</v>
      </c>
      <c r="BT19" t="e">
        <f t="shared" si="36"/>
        <v>#DIV/0!</v>
      </c>
      <c r="BU19" t="e">
        <f t="shared" si="37"/>
        <v>#DIV/0!</v>
      </c>
      <c r="BV19" t="s">
        <v>439</v>
      </c>
      <c r="BW19">
        <v>0</v>
      </c>
      <c r="BX19" t="e">
        <f t="shared" si="38"/>
        <v>#DIV/0!</v>
      </c>
      <c r="BY19" t="e">
        <f t="shared" si="39"/>
        <v>#DIV/0!</v>
      </c>
      <c r="BZ19" t="e">
        <f t="shared" si="40"/>
        <v>#DIV/0!</v>
      </c>
      <c r="CA19" t="e">
        <f t="shared" si="41"/>
        <v>#DIV/0!</v>
      </c>
      <c r="CB19" t="e">
        <f t="shared" si="42"/>
        <v>#DIV/0!</v>
      </c>
      <c r="CC19" t="e">
        <f t="shared" si="43"/>
        <v>#DIV/0!</v>
      </c>
      <c r="CD19" t="e">
        <f t="shared" si="44"/>
        <v>#DIV/0!</v>
      </c>
      <c r="CE19" t="e">
        <f t="shared" si="45"/>
        <v>#DIV/0!</v>
      </c>
      <c r="DN19">
        <f t="shared" si="46"/>
        <v>99.979600000000005</v>
      </c>
      <c r="DO19">
        <f t="shared" si="47"/>
        <v>84.268462343191629</v>
      </c>
      <c r="DP19">
        <f t="shared" si="48"/>
        <v>0.84285656617141524</v>
      </c>
      <c r="DQ19">
        <f t="shared" si="49"/>
        <v>0.19571313234283039</v>
      </c>
      <c r="DR19">
        <v>6</v>
      </c>
      <c r="DS19">
        <v>0.5</v>
      </c>
      <c r="DT19" t="s">
        <v>440</v>
      </c>
      <c r="DU19">
        <v>2</v>
      </c>
      <c r="DV19" t="b">
        <v>1</v>
      </c>
      <c r="DW19">
        <v>1707837396</v>
      </c>
      <c r="DX19">
        <v>402.065</v>
      </c>
      <c r="DY19">
        <v>400.041</v>
      </c>
      <c r="DZ19">
        <v>1.4045399999999999</v>
      </c>
      <c r="EA19">
        <v>0.158995</v>
      </c>
      <c r="EB19">
        <v>404.04700000000003</v>
      </c>
      <c r="EC19">
        <v>1.4992300000000001</v>
      </c>
      <c r="ED19">
        <v>700.09799999999996</v>
      </c>
      <c r="EE19">
        <v>101.95099999999999</v>
      </c>
      <c r="EF19">
        <v>6.3500399999999999E-2</v>
      </c>
      <c r="EG19">
        <v>16.050899999999999</v>
      </c>
      <c r="EH19">
        <v>15.4876</v>
      </c>
      <c r="EI19">
        <v>999.9</v>
      </c>
      <c r="EJ19">
        <v>0</v>
      </c>
      <c r="EK19">
        <v>0</v>
      </c>
      <c r="EL19">
        <v>10022</v>
      </c>
      <c r="EM19">
        <v>0</v>
      </c>
      <c r="EN19">
        <v>1.64361E-3</v>
      </c>
      <c r="EO19">
        <v>2.0244399999999998</v>
      </c>
      <c r="EP19">
        <v>402.63099999999997</v>
      </c>
      <c r="EQ19">
        <v>400.10399999999998</v>
      </c>
      <c r="ER19">
        <v>1.2455400000000001</v>
      </c>
      <c r="ES19">
        <v>400.041</v>
      </c>
      <c r="ET19">
        <v>0.158995</v>
      </c>
      <c r="EU19">
        <v>0.14319299999999999</v>
      </c>
      <c r="EV19">
        <v>1.6209600000000001E-2</v>
      </c>
      <c r="EW19">
        <v>-18.497800000000002</v>
      </c>
      <c r="EX19">
        <v>-41.429299999999998</v>
      </c>
      <c r="EY19">
        <v>99.979600000000005</v>
      </c>
      <c r="EZ19">
        <v>0.89980499999999997</v>
      </c>
      <c r="FA19">
        <v>0.10019500000000001</v>
      </c>
      <c r="FB19">
        <v>0</v>
      </c>
      <c r="FC19">
        <v>725.56899999999996</v>
      </c>
      <c r="FD19">
        <v>5.0001800000000003</v>
      </c>
      <c r="FE19">
        <v>993.54600000000005</v>
      </c>
      <c r="FF19">
        <v>795.86699999999996</v>
      </c>
      <c r="FG19">
        <v>28.625</v>
      </c>
      <c r="FH19">
        <v>33.5</v>
      </c>
      <c r="FI19">
        <v>31.187000000000001</v>
      </c>
      <c r="FJ19">
        <v>35.811999999999998</v>
      </c>
      <c r="FK19">
        <v>31.312000000000001</v>
      </c>
      <c r="FL19">
        <v>85.46</v>
      </c>
      <c r="FM19">
        <v>9.52</v>
      </c>
      <c r="FN19">
        <v>0</v>
      </c>
      <c r="FO19">
        <v>1685731805.5999999</v>
      </c>
      <c r="FP19">
        <v>0</v>
      </c>
      <c r="FQ19">
        <v>726.49823076923064</v>
      </c>
      <c r="FR19">
        <v>23.966906061789199</v>
      </c>
      <c r="FS19">
        <v>63.312137002738773</v>
      </c>
      <c r="FT19">
        <v>991.35515384615383</v>
      </c>
      <c r="FU19">
        <v>15</v>
      </c>
      <c r="FV19">
        <v>0</v>
      </c>
      <c r="FW19" t="s">
        <v>441</v>
      </c>
      <c r="FX19">
        <v>1755807717.5</v>
      </c>
      <c r="FY19">
        <v>1755807720.5</v>
      </c>
      <c r="FZ19">
        <v>0</v>
      </c>
      <c r="GA19">
        <v>-0.11700000000000001</v>
      </c>
      <c r="GB19">
        <v>-1.6E-2</v>
      </c>
      <c r="GC19">
        <v>-2.0089999999999999</v>
      </c>
      <c r="GD19">
        <v>0.03</v>
      </c>
      <c r="GE19">
        <v>420</v>
      </c>
      <c r="GF19">
        <v>15</v>
      </c>
      <c r="GG19">
        <v>0.09</v>
      </c>
      <c r="GH19">
        <v>0.01</v>
      </c>
      <c r="GI19">
        <v>-26.16641078911637</v>
      </c>
      <c r="GJ19">
        <v>334.31352706995438</v>
      </c>
      <c r="GK19">
        <v>37.805429716406287</v>
      </c>
      <c r="GL19">
        <v>0</v>
      </c>
      <c r="GM19">
        <v>0.79018041013891471</v>
      </c>
      <c r="GN19">
        <v>-9.9679676309549983</v>
      </c>
      <c r="GO19">
        <v>1.156424558326413</v>
      </c>
      <c r="GP19">
        <v>0</v>
      </c>
      <c r="GQ19">
        <v>0</v>
      </c>
      <c r="GR19">
        <v>2</v>
      </c>
      <c r="GS19" t="s">
        <v>442</v>
      </c>
      <c r="GT19">
        <v>3.36138</v>
      </c>
      <c r="GU19">
        <v>2.7579199999999999</v>
      </c>
      <c r="GV19">
        <v>9.9948599999999999E-2</v>
      </c>
      <c r="GW19">
        <v>9.89125E-2</v>
      </c>
      <c r="GX19">
        <v>1.22895E-2</v>
      </c>
      <c r="GY19">
        <v>1.40738E-3</v>
      </c>
      <c r="GZ19">
        <v>21560.799999999999</v>
      </c>
      <c r="HA19">
        <v>22241</v>
      </c>
      <c r="HB19">
        <v>25393.7</v>
      </c>
      <c r="HC19">
        <v>26074.7</v>
      </c>
      <c r="HD19">
        <v>38193.4</v>
      </c>
      <c r="HE19">
        <v>38846.300000000003</v>
      </c>
      <c r="HF19">
        <v>42512.4</v>
      </c>
      <c r="HG19">
        <v>42091</v>
      </c>
      <c r="HH19">
        <v>2.5459399999999999</v>
      </c>
      <c r="HI19">
        <v>2.5903800000000001</v>
      </c>
      <c r="HJ19">
        <v>6.7055199999999995E-2</v>
      </c>
      <c r="HK19">
        <v>0</v>
      </c>
      <c r="HL19">
        <v>14.3689</v>
      </c>
      <c r="HM19">
        <v>999.9</v>
      </c>
      <c r="HN19">
        <v>40.700000000000003</v>
      </c>
      <c r="HO19">
        <v>17.3</v>
      </c>
      <c r="HP19">
        <v>7.9116</v>
      </c>
      <c r="HQ19">
        <v>60.89</v>
      </c>
      <c r="HR19">
        <v>7.9847799999999998</v>
      </c>
      <c r="HS19">
        <v>2</v>
      </c>
      <c r="HT19">
        <v>-0.84414599999999995</v>
      </c>
      <c r="HU19">
        <v>0</v>
      </c>
      <c r="HV19">
        <v>20.378799999999998</v>
      </c>
      <c r="HW19">
        <v>5.2111799999999997</v>
      </c>
      <c r="HX19">
        <v>11.902100000000001</v>
      </c>
      <c r="HY19">
        <v>4.9935600000000004</v>
      </c>
      <c r="HZ19">
        <v>3.2812399999999999</v>
      </c>
      <c r="IA19">
        <v>9999</v>
      </c>
      <c r="IB19">
        <v>9999</v>
      </c>
      <c r="IC19">
        <v>9999</v>
      </c>
      <c r="ID19">
        <v>148.6</v>
      </c>
      <c r="IE19">
        <v>4.9718200000000001</v>
      </c>
      <c r="IF19">
        <v>1.8573</v>
      </c>
      <c r="IG19">
        <v>1.8667499999999999</v>
      </c>
      <c r="IH19">
        <v>1.8617300000000001</v>
      </c>
      <c r="II19">
        <v>1.8641700000000001</v>
      </c>
      <c r="IJ19">
        <v>1.86025</v>
      </c>
      <c r="IK19">
        <v>1.8627499999999999</v>
      </c>
      <c r="IL19">
        <v>1.86015</v>
      </c>
      <c r="IM19">
        <v>0</v>
      </c>
      <c r="IN19">
        <v>0</v>
      </c>
      <c r="IO19">
        <v>0</v>
      </c>
      <c r="IP19">
        <v>0</v>
      </c>
      <c r="IQ19" t="s">
        <v>443</v>
      </c>
      <c r="IR19" t="s">
        <v>444</v>
      </c>
      <c r="IS19" t="s">
        <v>445</v>
      </c>
      <c r="IT19" t="s">
        <v>445</v>
      </c>
      <c r="IU19" t="s">
        <v>445</v>
      </c>
      <c r="IV19" t="s">
        <v>445</v>
      </c>
      <c r="IW19">
        <v>0</v>
      </c>
      <c r="IX19">
        <v>100</v>
      </c>
      <c r="IY19">
        <v>100</v>
      </c>
      <c r="IZ19">
        <v>-1.982</v>
      </c>
      <c r="JA19">
        <v>-9.4700000000000006E-2</v>
      </c>
      <c r="JB19">
        <v>-1.140465381763482</v>
      </c>
      <c r="JC19">
        <v>-2.4932477295996069E-3</v>
      </c>
      <c r="JD19">
        <v>1.159696634280317E-6</v>
      </c>
      <c r="JE19">
        <v>-3.5013845820821591E-10</v>
      </c>
      <c r="JF19">
        <v>-8.6309180691159976E-2</v>
      </c>
      <c r="JG19">
        <v>-7.5935071553627593E-3</v>
      </c>
      <c r="JH19">
        <v>1.367325239740887E-3</v>
      </c>
      <c r="JI19">
        <v>-2.2944115828177239E-5</v>
      </c>
      <c r="JJ19">
        <v>2</v>
      </c>
      <c r="JK19">
        <v>2118</v>
      </c>
      <c r="JL19">
        <v>1</v>
      </c>
      <c r="JM19">
        <v>27</v>
      </c>
      <c r="JN19">
        <v>-799505.4</v>
      </c>
      <c r="JO19">
        <v>-799505.4</v>
      </c>
      <c r="JP19">
        <v>1.24878</v>
      </c>
      <c r="JQ19">
        <v>2.4267599999999998</v>
      </c>
      <c r="JR19">
        <v>2.19604</v>
      </c>
      <c r="JS19">
        <v>2.7221700000000002</v>
      </c>
      <c r="JT19">
        <v>2.1496599999999999</v>
      </c>
      <c r="JU19">
        <v>2.4133300000000002</v>
      </c>
      <c r="JV19">
        <v>21.459299999999999</v>
      </c>
      <c r="JW19">
        <v>15.5067</v>
      </c>
      <c r="JX19">
        <v>18</v>
      </c>
      <c r="JY19">
        <v>680.29700000000003</v>
      </c>
      <c r="JZ19">
        <v>801.58799999999997</v>
      </c>
      <c r="KA19">
        <v>15.6326</v>
      </c>
      <c r="KB19">
        <v>15.8736</v>
      </c>
      <c r="KC19">
        <v>30.000399999999999</v>
      </c>
      <c r="KD19">
        <v>15.8323</v>
      </c>
      <c r="KE19">
        <v>15.8187</v>
      </c>
      <c r="KF19">
        <v>25.087</v>
      </c>
      <c r="KG19">
        <v>100</v>
      </c>
      <c r="KH19">
        <v>0</v>
      </c>
      <c r="KI19">
        <v>-999.9</v>
      </c>
      <c r="KJ19">
        <v>400</v>
      </c>
      <c r="KK19">
        <v>0</v>
      </c>
      <c r="KL19">
        <v>103.003</v>
      </c>
      <c r="KM19">
        <v>103.02</v>
      </c>
    </row>
    <row r="20" spans="1:299" x14ac:dyDescent="0.2">
      <c r="A20">
        <v>4</v>
      </c>
      <c r="B20" t="s">
        <v>538</v>
      </c>
      <c r="C20">
        <v>4</v>
      </c>
      <c r="D20">
        <v>1707837587</v>
      </c>
      <c r="E20">
        <v>660</v>
      </c>
      <c r="F20" t="s">
        <v>450</v>
      </c>
      <c r="G20" t="s">
        <v>451</v>
      </c>
      <c r="H20" t="s">
        <v>436</v>
      </c>
      <c r="I20" t="s">
        <v>437</v>
      </c>
      <c r="J20" t="s">
        <v>438</v>
      </c>
      <c r="M20" t="s">
        <v>438</v>
      </c>
      <c r="O20">
        <v>1707837587</v>
      </c>
      <c r="P20">
        <f t="shared" si="0"/>
        <v>-1.3122471543811578E-4</v>
      </c>
      <c r="Q20">
        <f t="shared" si="1"/>
        <v>-0.13122471543811579</v>
      </c>
      <c r="R20">
        <f t="shared" si="2"/>
        <v>0.36285192417066903</v>
      </c>
      <c r="S20">
        <f t="shared" si="3"/>
        <v>422.86500000000001</v>
      </c>
      <c r="T20">
        <f t="shared" si="4"/>
        <v>471.19394970442266</v>
      </c>
      <c r="U20">
        <f t="shared" si="5"/>
        <v>48.066826058694794</v>
      </c>
      <c r="V20">
        <f t="shared" si="6"/>
        <v>43.136755924094999</v>
      </c>
      <c r="W20">
        <f t="shared" si="7"/>
        <v>-1.0054415451733719E-2</v>
      </c>
      <c r="X20">
        <f t="shared" si="8"/>
        <v>2.9633709321637003</v>
      </c>
      <c r="Y20">
        <f t="shared" si="9"/>
        <v>-1.0073406119310239E-2</v>
      </c>
      <c r="Z20">
        <f t="shared" si="10"/>
        <v>-6.2941696519612147E-3</v>
      </c>
      <c r="AA20">
        <f t="shared" si="11"/>
        <v>19.545174831941424</v>
      </c>
      <c r="AB20">
        <f t="shared" si="12"/>
        <v>16.007083837754408</v>
      </c>
      <c r="AC20">
        <f t="shared" si="13"/>
        <v>15.308999999999999</v>
      </c>
      <c r="AD20">
        <f t="shared" si="14"/>
        <v>1.7457134091464839</v>
      </c>
      <c r="AE20">
        <f t="shared" si="15"/>
        <v>23.836087301431672</v>
      </c>
      <c r="AF20">
        <f t="shared" si="16"/>
        <v>0.43101358210153995</v>
      </c>
      <c r="AG20">
        <f t="shared" si="17"/>
        <v>1.8082396521330575</v>
      </c>
      <c r="AH20">
        <f t="shared" si="18"/>
        <v>1.3146998270449439</v>
      </c>
      <c r="AI20">
        <f t="shared" si="19"/>
        <v>5.7870099508209059</v>
      </c>
      <c r="AJ20">
        <f t="shared" si="20"/>
        <v>87.740880529189468</v>
      </c>
      <c r="AK20">
        <f t="shared" si="21"/>
        <v>5.687776380282191</v>
      </c>
      <c r="AL20">
        <f t="shared" si="22"/>
        <v>118.76084169223398</v>
      </c>
      <c r="AM20">
        <f t="shared" si="23"/>
        <v>-28.640463252059973</v>
      </c>
      <c r="AN20">
        <f t="shared" si="24"/>
        <v>4.7587581191632591</v>
      </c>
      <c r="AO20">
        <f t="shared" si="25"/>
        <v>0.36285192417066903</v>
      </c>
      <c r="AP20">
        <v>400.06608883096447</v>
      </c>
      <c r="AQ20">
        <v>427.19906666666662</v>
      </c>
      <c r="AR20">
        <v>-6.7601571432978904</v>
      </c>
      <c r="AS20">
        <v>66.958795332089565</v>
      </c>
      <c r="AT20">
        <f t="shared" si="26"/>
        <v>-0.13122471543811579</v>
      </c>
      <c r="AU20">
        <v>0.1622690842349308</v>
      </c>
      <c r="AV20">
        <v>4.5092691515151513</v>
      </c>
      <c r="AW20">
        <v>-0.93737216708848647</v>
      </c>
      <c r="AX20">
        <v>78.458583576081651</v>
      </c>
      <c r="AY20">
        <v>109</v>
      </c>
      <c r="AZ20">
        <v>16</v>
      </c>
      <c r="BA20">
        <f t="shared" si="27"/>
        <v>1</v>
      </c>
      <c r="BB20">
        <f t="shared" si="28"/>
        <v>0</v>
      </c>
      <c r="BC20">
        <f t="shared" si="29"/>
        <v>55982.798208315922</v>
      </c>
      <c r="BD20" t="s">
        <v>439</v>
      </c>
      <c r="BE20" t="s">
        <v>439</v>
      </c>
      <c r="BF20">
        <v>0</v>
      </c>
      <c r="BG20">
        <v>0</v>
      </c>
      <c r="BH20" t="e">
        <f t="shared" si="30"/>
        <v>#DIV/0!</v>
      </c>
      <c r="BI20">
        <v>0</v>
      </c>
      <c r="BJ20" t="s">
        <v>439</v>
      </c>
      <c r="BK20" t="s">
        <v>439</v>
      </c>
      <c r="BL20">
        <v>0</v>
      </c>
      <c r="BM20">
        <v>0</v>
      </c>
      <c r="BN20" t="e">
        <f t="shared" si="31"/>
        <v>#DIV/0!</v>
      </c>
      <c r="BO20">
        <v>0.5</v>
      </c>
      <c r="BP20">
        <f t="shared" si="32"/>
        <v>84.172980915970697</v>
      </c>
      <c r="BQ20">
        <f t="shared" si="33"/>
        <v>0.36285192417066903</v>
      </c>
      <c r="BR20" t="e">
        <f t="shared" si="34"/>
        <v>#DIV/0!</v>
      </c>
      <c r="BS20">
        <f t="shared" si="35"/>
        <v>4.3107885716071005E-3</v>
      </c>
      <c r="BT20" t="e">
        <f t="shared" si="36"/>
        <v>#DIV/0!</v>
      </c>
      <c r="BU20" t="e">
        <f t="shared" si="37"/>
        <v>#DIV/0!</v>
      </c>
      <c r="BV20" t="s">
        <v>439</v>
      </c>
      <c r="BW20">
        <v>0</v>
      </c>
      <c r="BX20" t="e">
        <f t="shared" si="38"/>
        <v>#DIV/0!</v>
      </c>
      <c r="BY20" t="e">
        <f t="shared" si="39"/>
        <v>#DIV/0!</v>
      </c>
      <c r="BZ20" t="e">
        <f t="shared" si="40"/>
        <v>#DIV/0!</v>
      </c>
      <c r="CA20" t="e">
        <f t="shared" si="41"/>
        <v>#DIV/0!</v>
      </c>
      <c r="CB20" t="e">
        <f t="shared" si="42"/>
        <v>#DIV/0!</v>
      </c>
      <c r="CC20" t="e">
        <f t="shared" si="43"/>
        <v>#DIV/0!</v>
      </c>
      <c r="CD20" t="e">
        <f t="shared" si="44"/>
        <v>#DIV/0!</v>
      </c>
      <c r="CE20" t="e">
        <f t="shared" si="45"/>
        <v>#DIV/0!</v>
      </c>
      <c r="DN20">
        <f t="shared" si="46"/>
        <v>99.866299999999995</v>
      </c>
      <c r="DO20">
        <f t="shared" si="47"/>
        <v>84.172980915970697</v>
      </c>
      <c r="DP20">
        <f t="shared" si="48"/>
        <v>0.84285670857907724</v>
      </c>
      <c r="DQ20">
        <f t="shared" si="49"/>
        <v>0.19571341715815471</v>
      </c>
      <c r="DR20">
        <v>6</v>
      </c>
      <c r="DS20">
        <v>0.5</v>
      </c>
      <c r="DT20" t="s">
        <v>440</v>
      </c>
      <c r="DU20">
        <v>2</v>
      </c>
      <c r="DV20" t="b">
        <v>1</v>
      </c>
      <c r="DW20">
        <v>1707837587</v>
      </c>
      <c r="DX20">
        <v>422.86500000000001</v>
      </c>
      <c r="DY20">
        <v>400.03500000000003</v>
      </c>
      <c r="DZ20">
        <v>4.2251799999999999</v>
      </c>
      <c r="EA20">
        <v>0.162434</v>
      </c>
      <c r="EB20">
        <v>424.88200000000001</v>
      </c>
      <c r="EC20">
        <v>4.3206199999999999</v>
      </c>
      <c r="ED20">
        <v>699.82</v>
      </c>
      <c r="EE20">
        <v>101.95099999999999</v>
      </c>
      <c r="EF20">
        <v>5.9702999999999999E-2</v>
      </c>
      <c r="EG20">
        <v>15.8582</v>
      </c>
      <c r="EH20">
        <v>15.308999999999999</v>
      </c>
      <c r="EI20">
        <v>999.9</v>
      </c>
      <c r="EJ20">
        <v>0</v>
      </c>
      <c r="EK20">
        <v>0</v>
      </c>
      <c r="EL20">
        <v>9999</v>
      </c>
      <c r="EM20">
        <v>0</v>
      </c>
      <c r="EN20">
        <v>1.60538E-3</v>
      </c>
      <c r="EO20">
        <v>22.830300000000001</v>
      </c>
      <c r="EP20">
        <v>424.65899999999999</v>
      </c>
      <c r="EQ20">
        <v>400.1</v>
      </c>
      <c r="ER20">
        <v>4.0627399999999998</v>
      </c>
      <c r="ES20">
        <v>400.03500000000003</v>
      </c>
      <c r="ET20">
        <v>0.162434</v>
      </c>
      <c r="EU20">
        <v>0.43076199999999998</v>
      </c>
      <c r="EV20">
        <v>1.6560399999999999E-2</v>
      </c>
      <c r="EW20">
        <v>-4.7755700000000001</v>
      </c>
      <c r="EX20">
        <v>-41.226999999999997</v>
      </c>
      <c r="EY20">
        <v>99.866299999999995</v>
      </c>
      <c r="EZ20">
        <v>0.89980499999999997</v>
      </c>
      <c r="FA20">
        <v>0.10019500000000001</v>
      </c>
      <c r="FB20">
        <v>0</v>
      </c>
      <c r="FC20">
        <v>561.024</v>
      </c>
      <c r="FD20">
        <v>5.0001800000000003</v>
      </c>
      <c r="FE20">
        <v>828.37</v>
      </c>
      <c r="FF20">
        <v>794.91700000000003</v>
      </c>
      <c r="FG20">
        <v>29.25</v>
      </c>
      <c r="FH20">
        <v>34.061999999999998</v>
      </c>
      <c r="FI20">
        <v>31.875</v>
      </c>
      <c r="FJ20">
        <v>36.375</v>
      </c>
      <c r="FK20">
        <v>31.937000000000001</v>
      </c>
      <c r="FL20">
        <v>85.36</v>
      </c>
      <c r="FM20">
        <v>9.51</v>
      </c>
      <c r="FN20">
        <v>0</v>
      </c>
      <c r="FO20">
        <v>1685731996.4000001</v>
      </c>
      <c r="FP20">
        <v>0</v>
      </c>
      <c r="FQ20">
        <v>379.64081538461539</v>
      </c>
      <c r="FR20">
        <v>2603.5191380909</v>
      </c>
      <c r="FS20">
        <v>-92542.620293037573</v>
      </c>
      <c r="FT20">
        <v>7426.4429615384624</v>
      </c>
      <c r="FU20">
        <v>15</v>
      </c>
      <c r="FV20">
        <v>0</v>
      </c>
      <c r="FW20" t="s">
        <v>441</v>
      </c>
      <c r="FX20">
        <v>1755807717.5</v>
      </c>
      <c r="FY20">
        <v>1755807720.5</v>
      </c>
      <c r="FZ20">
        <v>0</v>
      </c>
      <c r="GA20">
        <v>-0.11700000000000001</v>
      </c>
      <c r="GB20">
        <v>-1.6E-2</v>
      </c>
      <c r="GC20">
        <v>-2.0089999999999999</v>
      </c>
      <c r="GD20">
        <v>0.03</v>
      </c>
      <c r="GE20">
        <v>420</v>
      </c>
      <c r="GF20">
        <v>15</v>
      </c>
      <c r="GG20">
        <v>0.09</v>
      </c>
      <c r="GH20">
        <v>0.01</v>
      </c>
      <c r="GI20">
        <v>-77.488195760871463</v>
      </c>
      <c r="GJ20">
        <v>196.98477495267321</v>
      </c>
      <c r="GK20">
        <v>29.36273720734161</v>
      </c>
      <c r="GL20">
        <v>0</v>
      </c>
      <c r="GM20">
        <v>2.2000272924553261</v>
      </c>
      <c r="GN20">
        <v>-6.1868017688307733</v>
      </c>
      <c r="GO20">
        <v>1.138438874503322</v>
      </c>
      <c r="GP20">
        <v>0</v>
      </c>
      <c r="GQ20">
        <v>0</v>
      </c>
      <c r="GR20">
        <v>2</v>
      </c>
      <c r="GS20" t="s">
        <v>442</v>
      </c>
      <c r="GT20">
        <v>3.3610699999999998</v>
      </c>
      <c r="GU20">
        <v>2.7539099999999999</v>
      </c>
      <c r="GV20">
        <v>0.103795</v>
      </c>
      <c r="GW20">
        <v>9.8877000000000007E-2</v>
      </c>
      <c r="GX20">
        <v>3.1592200000000001E-2</v>
      </c>
      <c r="GY20">
        <v>1.43687E-3</v>
      </c>
      <c r="GZ20">
        <v>21465.4</v>
      </c>
      <c r="HA20">
        <v>22236.3</v>
      </c>
      <c r="HB20">
        <v>25389.200000000001</v>
      </c>
      <c r="HC20">
        <v>26068.6</v>
      </c>
      <c r="HD20">
        <v>37436.1</v>
      </c>
      <c r="HE20">
        <v>38839</v>
      </c>
      <c r="HF20">
        <v>42505</v>
      </c>
      <c r="HG20">
        <v>42084.5</v>
      </c>
      <c r="HH20">
        <v>2.3596599999999999</v>
      </c>
      <c r="HI20">
        <v>2.5860799999999999</v>
      </c>
      <c r="HJ20">
        <v>5.6576700000000001E-2</v>
      </c>
      <c r="HK20">
        <v>0</v>
      </c>
      <c r="HL20">
        <v>14.3649</v>
      </c>
      <c r="HM20">
        <v>999.9</v>
      </c>
      <c r="HN20">
        <v>41.7</v>
      </c>
      <c r="HO20">
        <v>17.399999999999999</v>
      </c>
      <c r="HP20">
        <v>8.1568799999999992</v>
      </c>
      <c r="HQ20">
        <v>60.6601</v>
      </c>
      <c r="HR20">
        <v>7.7884599999999997</v>
      </c>
      <c r="HS20">
        <v>2</v>
      </c>
      <c r="HT20">
        <v>-0.83754300000000004</v>
      </c>
      <c r="HU20">
        <v>0</v>
      </c>
      <c r="HV20">
        <v>20.378900000000002</v>
      </c>
      <c r="HW20">
        <v>5.2105800000000002</v>
      </c>
      <c r="HX20">
        <v>11.902100000000001</v>
      </c>
      <c r="HY20">
        <v>4.9937199999999997</v>
      </c>
      <c r="HZ20">
        <v>3.2812800000000002</v>
      </c>
      <c r="IA20">
        <v>9999</v>
      </c>
      <c r="IB20">
        <v>9999</v>
      </c>
      <c r="IC20">
        <v>9999</v>
      </c>
      <c r="ID20">
        <v>148.69999999999999</v>
      </c>
      <c r="IE20">
        <v>4.9718400000000003</v>
      </c>
      <c r="IF20">
        <v>1.8573</v>
      </c>
      <c r="IG20">
        <v>1.8667499999999999</v>
      </c>
      <c r="IH20">
        <v>1.86172</v>
      </c>
      <c r="II20">
        <v>1.8641700000000001</v>
      </c>
      <c r="IJ20">
        <v>1.8602700000000001</v>
      </c>
      <c r="IK20">
        <v>1.8627899999999999</v>
      </c>
      <c r="IL20">
        <v>1.8602000000000001</v>
      </c>
      <c r="IM20">
        <v>0</v>
      </c>
      <c r="IN20">
        <v>0</v>
      </c>
      <c r="IO20">
        <v>0</v>
      </c>
      <c r="IP20">
        <v>0</v>
      </c>
      <c r="IQ20" t="s">
        <v>443</v>
      </c>
      <c r="IR20" t="s">
        <v>444</v>
      </c>
      <c r="IS20" t="s">
        <v>445</v>
      </c>
      <c r="IT20" t="s">
        <v>445</v>
      </c>
      <c r="IU20" t="s">
        <v>445</v>
      </c>
      <c r="IV20" t="s">
        <v>445</v>
      </c>
      <c r="IW20">
        <v>0</v>
      </c>
      <c r="IX20">
        <v>100</v>
      </c>
      <c r="IY20">
        <v>100</v>
      </c>
      <c r="IZ20">
        <v>-2.0169999999999999</v>
      </c>
      <c r="JA20">
        <v>-9.5399999999999999E-2</v>
      </c>
      <c r="JB20">
        <v>-1.140465381763482</v>
      </c>
      <c r="JC20">
        <v>-2.4932477295996069E-3</v>
      </c>
      <c r="JD20">
        <v>1.159696634280317E-6</v>
      </c>
      <c r="JE20">
        <v>-3.5013845820821591E-10</v>
      </c>
      <c r="JF20">
        <v>-8.6309180691159976E-2</v>
      </c>
      <c r="JG20">
        <v>-7.5935071553627593E-3</v>
      </c>
      <c r="JH20">
        <v>1.367325239740887E-3</v>
      </c>
      <c r="JI20">
        <v>-2.2944115828177239E-5</v>
      </c>
      <c r="JJ20">
        <v>2</v>
      </c>
      <c r="JK20">
        <v>2118</v>
      </c>
      <c r="JL20">
        <v>1</v>
      </c>
      <c r="JM20">
        <v>27</v>
      </c>
      <c r="JN20">
        <v>-799502.2</v>
      </c>
      <c r="JO20">
        <v>-799502.2</v>
      </c>
      <c r="JP20">
        <v>1.24878</v>
      </c>
      <c r="JQ20">
        <v>2.4218799999999998</v>
      </c>
      <c r="JR20">
        <v>2.19604</v>
      </c>
      <c r="JS20">
        <v>2.7209500000000002</v>
      </c>
      <c r="JT20">
        <v>2.1496599999999999</v>
      </c>
      <c r="JU20">
        <v>2.4133300000000002</v>
      </c>
      <c r="JV20">
        <v>21.5397</v>
      </c>
      <c r="JW20">
        <v>15.4542</v>
      </c>
      <c r="JX20">
        <v>18</v>
      </c>
      <c r="JY20">
        <v>559.32299999999998</v>
      </c>
      <c r="JZ20">
        <v>800.03200000000004</v>
      </c>
      <c r="KA20">
        <v>15.623699999999999</v>
      </c>
      <c r="KB20">
        <v>15.981400000000001</v>
      </c>
      <c r="KC20">
        <v>30.0001</v>
      </c>
      <c r="KD20">
        <v>15.9765</v>
      </c>
      <c r="KE20">
        <v>15.9529</v>
      </c>
      <c r="KF20">
        <v>25.077300000000001</v>
      </c>
      <c r="KG20">
        <v>100</v>
      </c>
      <c r="KH20">
        <v>0</v>
      </c>
      <c r="KI20">
        <v>-999.9</v>
      </c>
      <c r="KJ20">
        <v>400</v>
      </c>
      <c r="KK20">
        <v>0</v>
      </c>
      <c r="KL20">
        <v>102.985</v>
      </c>
      <c r="KM20">
        <v>103.001</v>
      </c>
    </row>
    <row r="21" spans="1:299" x14ac:dyDescent="0.2">
      <c r="A21">
        <v>5</v>
      </c>
      <c r="B21" t="s">
        <v>538</v>
      </c>
      <c r="C21">
        <v>5</v>
      </c>
      <c r="D21">
        <v>1707837759.5</v>
      </c>
      <c r="E21">
        <v>832.5</v>
      </c>
      <c r="F21" t="s">
        <v>452</v>
      </c>
      <c r="G21" t="s">
        <v>453</v>
      </c>
      <c r="H21" t="s">
        <v>436</v>
      </c>
      <c r="I21" t="s">
        <v>437</v>
      </c>
      <c r="J21" t="s">
        <v>438</v>
      </c>
      <c r="M21" t="s">
        <v>438</v>
      </c>
      <c r="O21">
        <v>1707837759.5</v>
      </c>
      <c r="P21">
        <f t="shared" si="0"/>
        <v>-2.1162426213910604E-4</v>
      </c>
      <c r="Q21">
        <f t="shared" si="1"/>
        <v>-0.21162426213910604</v>
      </c>
      <c r="R21">
        <f t="shared" si="2"/>
        <v>1.614311694325673</v>
      </c>
      <c r="S21">
        <f t="shared" si="3"/>
        <v>417.233</v>
      </c>
      <c r="T21">
        <f t="shared" si="4"/>
        <v>584.39078453434786</v>
      </c>
      <c r="U21">
        <f t="shared" si="5"/>
        <v>59.617527833008339</v>
      </c>
      <c r="V21">
        <f t="shared" si="6"/>
        <v>42.564668452412192</v>
      </c>
      <c r="W21">
        <f t="shared" si="7"/>
        <v>-1.4404024711060552E-2</v>
      </c>
      <c r="X21">
        <f t="shared" si="8"/>
        <v>2.9642169073500542</v>
      </c>
      <c r="Y21">
        <f t="shared" si="9"/>
        <v>-1.444302371219881E-2</v>
      </c>
      <c r="Z21">
        <f t="shared" si="10"/>
        <v>-9.023377232211454E-3</v>
      </c>
      <c r="AA21">
        <f t="shared" si="11"/>
        <v>19.544607263031669</v>
      </c>
      <c r="AB21">
        <f t="shared" si="12"/>
        <v>16.260248543494988</v>
      </c>
      <c r="AC21">
        <f t="shared" si="13"/>
        <v>15.835599999999999</v>
      </c>
      <c r="AD21">
        <f t="shared" si="14"/>
        <v>1.8056283680886893</v>
      </c>
      <c r="AE21">
        <f t="shared" si="15"/>
        <v>17.788311031158294</v>
      </c>
      <c r="AF21">
        <f t="shared" si="16"/>
        <v>0.32646620103064194</v>
      </c>
      <c r="AG21">
        <f t="shared" si="17"/>
        <v>1.8352849826990234</v>
      </c>
      <c r="AH21">
        <f t="shared" si="18"/>
        <v>1.4791621670580475</v>
      </c>
      <c r="AI21">
        <f t="shared" si="19"/>
        <v>9.332629960334577</v>
      </c>
      <c r="AJ21">
        <f t="shared" si="20"/>
        <v>40.750749786809152</v>
      </c>
      <c r="AK21">
        <f t="shared" si="21"/>
        <v>2.6513317921761224</v>
      </c>
      <c r="AL21">
        <f t="shared" si="22"/>
        <v>72.279318802351526</v>
      </c>
      <c r="AM21">
        <f t="shared" si="23"/>
        <v>-21.539239740547568</v>
      </c>
      <c r="AN21">
        <f t="shared" si="24"/>
        <v>3.551380009605138</v>
      </c>
      <c r="AO21">
        <f t="shared" si="25"/>
        <v>1.614311694325673</v>
      </c>
      <c r="AP21">
        <v>400.11275705705071</v>
      </c>
      <c r="AQ21">
        <v>420.66489696969688</v>
      </c>
      <c r="AR21">
        <v>-5.4096825341742942</v>
      </c>
      <c r="AS21">
        <v>66.968641278904812</v>
      </c>
      <c r="AT21">
        <f t="shared" si="26"/>
        <v>-0.21162426213910604</v>
      </c>
      <c r="AU21">
        <v>0.16653755265654149</v>
      </c>
      <c r="AV21">
        <v>3.4108078787878791</v>
      </c>
      <c r="AW21">
        <v>-0.72088123151064387</v>
      </c>
      <c r="AX21">
        <v>78.467220595278718</v>
      </c>
      <c r="AY21">
        <v>45</v>
      </c>
      <c r="AZ21">
        <v>6</v>
      </c>
      <c r="BA21">
        <f t="shared" si="27"/>
        <v>1</v>
      </c>
      <c r="BB21">
        <f t="shared" si="28"/>
        <v>0</v>
      </c>
      <c r="BC21">
        <f t="shared" si="29"/>
        <v>55963.584948027878</v>
      </c>
      <c r="BD21" t="s">
        <v>439</v>
      </c>
      <c r="BE21" t="s">
        <v>439</v>
      </c>
      <c r="BF21">
        <v>0</v>
      </c>
      <c r="BG21">
        <v>0</v>
      </c>
      <c r="BH21" t="e">
        <f t="shared" si="30"/>
        <v>#DIV/0!</v>
      </c>
      <c r="BI21">
        <v>0</v>
      </c>
      <c r="BJ21" t="s">
        <v>439</v>
      </c>
      <c r="BK21" t="s">
        <v>439</v>
      </c>
      <c r="BL21">
        <v>0</v>
      </c>
      <c r="BM21">
        <v>0</v>
      </c>
      <c r="BN21" t="e">
        <f t="shared" si="31"/>
        <v>#DIV/0!</v>
      </c>
      <c r="BO21">
        <v>0.5</v>
      </c>
      <c r="BP21">
        <f t="shared" si="32"/>
        <v>84.170536631515816</v>
      </c>
      <c r="BQ21">
        <f t="shared" si="33"/>
        <v>1.614311694325673</v>
      </c>
      <c r="BR21" t="e">
        <f t="shared" si="34"/>
        <v>#DIV/0!</v>
      </c>
      <c r="BS21">
        <f t="shared" si="35"/>
        <v>1.9179059073757044E-2</v>
      </c>
      <c r="BT21" t="e">
        <f t="shared" si="36"/>
        <v>#DIV/0!</v>
      </c>
      <c r="BU21" t="e">
        <f t="shared" si="37"/>
        <v>#DIV/0!</v>
      </c>
      <c r="BV21" t="s">
        <v>439</v>
      </c>
      <c r="BW21">
        <v>0</v>
      </c>
      <c r="BX21" t="e">
        <f t="shared" si="38"/>
        <v>#DIV/0!</v>
      </c>
      <c r="BY21" t="e">
        <f t="shared" si="39"/>
        <v>#DIV/0!</v>
      </c>
      <c r="BZ21" t="e">
        <f t="shared" si="40"/>
        <v>#DIV/0!</v>
      </c>
      <c r="CA21" t="e">
        <f t="shared" si="41"/>
        <v>#DIV/0!</v>
      </c>
      <c r="CB21" t="e">
        <f t="shared" si="42"/>
        <v>#DIV/0!</v>
      </c>
      <c r="CC21" t="e">
        <f t="shared" si="43"/>
        <v>#DIV/0!</v>
      </c>
      <c r="CD21" t="e">
        <f t="shared" si="44"/>
        <v>#DIV/0!</v>
      </c>
      <c r="CE21" t="e">
        <f t="shared" si="45"/>
        <v>#DIV/0!</v>
      </c>
      <c r="DN21">
        <f t="shared" si="46"/>
        <v>99.863399999999999</v>
      </c>
      <c r="DO21">
        <f t="shared" si="47"/>
        <v>84.170536631515816</v>
      </c>
      <c r="DP21">
        <f t="shared" si="48"/>
        <v>0.84285670857907724</v>
      </c>
      <c r="DQ21">
        <f t="shared" si="49"/>
        <v>0.19571341715815471</v>
      </c>
      <c r="DR21">
        <v>6</v>
      </c>
      <c r="DS21">
        <v>0.5</v>
      </c>
      <c r="DT21" t="s">
        <v>440</v>
      </c>
      <c r="DU21">
        <v>2</v>
      </c>
      <c r="DV21" t="b">
        <v>1</v>
      </c>
      <c r="DW21">
        <v>1707837759.5</v>
      </c>
      <c r="DX21">
        <v>417.233</v>
      </c>
      <c r="DY21">
        <v>400.04599999999999</v>
      </c>
      <c r="DZ21">
        <v>3.2001300000000001</v>
      </c>
      <c r="EA21">
        <v>0.166737</v>
      </c>
      <c r="EB21">
        <v>419.24</v>
      </c>
      <c r="EC21">
        <v>3.2974299999999999</v>
      </c>
      <c r="ED21">
        <v>700.20899999999995</v>
      </c>
      <c r="EE21">
        <v>101.95399999999999</v>
      </c>
      <c r="EF21">
        <v>6.2543399999999999E-2</v>
      </c>
      <c r="EG21">
        <v>16.090599999999998</v>
      </c>
      <c r="EH21">
        <v>15.835599999999999</v>
      </c>
      <c r="EI21">
        <v>999.9</v>
      </c>
      <c r="EJ21">
        <v>0</v>
      </c>
      <c r="EK21">
        <v>0</v>
      </c>
      <c r="EL21">
        <v>10003.5</v>
      </c>
      <c r="EM21">
        <v>0</v>
      </c>
      <c r="EN21">
        <v>1.60538E-3</v>
      </c>
      <c r="EO21">
        <v>17.186299999999999</v>
      </c>
      <c r="EP21">
        <v>418.572</v>
      </c>
      <c r="EQ21">
        <v>400.113</v>
      </c>
      <c r="ER21">
        <v>3.0333899999999998</v>
      </c>
      <c r="ES21">
        <v>400.04599999999999</v>
      </c>
      <c r="ET21">
        <v>0.166737</v>
      </c>
      <c r="EU21">
        <v>0.32626500000000003</v>
      </c>
      <c r="EV21">
        <v>1.6999500000000001E-2</v>
      </c>
      <c r="EW21">
        <v>-8.3945500000000006</v>
      </c>
      <c r="EX21">
        <v>-40.979100000000003</v>
      </c>
      <c r="EY21">
        <v>99.863399999999999</v>
      </c>
      <c r="EZ21">
        <v>0.89976999999999996</v>
      </c>
      <c r="FA21">
        <v>0.10023</v>
      </c>
      <c r="FB21">
        <v>0</v>
      </c>
      <c r="FC21">
        <v>471.94299999999998</v>
      </c>
      <c r="FD21">
        <v>5.0001800000000003</v>
      </c>
      <c r="FE21">
        <v>2197.09</v>
      </c>
      <c r="FF21">
        <v>794.88499999999999</v>
      </c>
      <c r="FG21">
        <v>29.812000000000001</v>
      </c>
      <c r="FH21">
        <v>34.436999999999998</v>
      </c>
      <c r="FI21">
        <v>32.375</v>
      </c>
      <c r="FJ21">
        <v>36.875</v>
      </c>
      <c r="FK21">
        <v>32.436999999999998</v>
      </c>
      <c r="FL21">
        <v>85.36</v>
      </c>
      <c r="FM21">
        <v>9.51</v>
      </c>
      <c r="FN21">
        <v>0</v>
      </c>
      <c r="FO21">
        <v>1685732168.5999999</v>
      </c>
      <c r="FP21">
        <v>0</v>
      </c>
      <c r="FQ21">
        <v>363.10500399999989</v>
      </c>
      <c r="FR21">
        <v>1797.632070474695</v>
      </c>
      <c r="FS21">
        <v>-644925.36592203844</v>
      </c>
      <c r="FT21">
        <v>41592.129599999993</v>
      </c>
      <c r="FU21">
        <v>15</v>
      </c>
      <c r="FV21">
        <v>0</v>
      </c>
      <c r="FW21" t="s">
        <v>441</v>
      </c>
      <c r="FX21">
        <v>1755807717.5</v>
      </c>
      <c r="FY21">
        <v>1755807720.5</v>
      </c>
      <c r="FZ21">
        <v>0</v>
      </c>
      <c r="GA21">
        <v>-0.11700000000000001</v>
      </c>
      <c r="GB21">
        <v>-1.6E-2</v>
      </c>
      <c r="GC21">
        <v>-2.0089999999999999</v>
      </c>
      <c r="GD21">
        <v>0.03</v>
      </c>
      <c r="GE21">
        <v>420</v>
      </c>
      <c r="GF21">
        <v>15</v>
      </c>
      <c r="GG21">
        <v>0.09</v>
      </c>
      <c r="GH21">
        <v>0.01</v>
      </c>
      <c r="GI21">
        <v>-73.08563010491514</v>
      </c>
      <c r="GJ21">
        <v>239.0033415675415</v>
      </c>
      <c r="GK21">
        <v>59.678926028142619</v>
      </c>
      <c r="GL21">
        <v>0</v>
      </c>
      <c r="GM21">
        <v>2.2528506437100262</v>
      </c>
      <c r="GN21">
        <v>-5.7735392395887386</v>
      </c>
      <c r="GO21">
        <v>2.610148720056447</v>
      </c>
      <c r="GP21">
        <v>0</v>
      </c>
      <c r="GQ21">
        <v>0</v>
      </c>
      <c r="GR21">
        <v>2</v>
      </c>
      <c r="GS21" t="s">
        <v>442</v>
      </c>
      <c r="GT21">
        <v>3.3614999999999999</v>
      </c>
      <c r="GU21">
        <v>2.7567900000000001</v>
      </c>
      <c r="GV21">
        <v>0.102732</v>
      </c>
      <c r="GW21">
        <v>9.8861699999999997E-2</v>
      </c>
      <c r="GX21">
        <v>2.50155E-2</v>
      </c>
      <c r="GY21">
        <v>1.4741999999999999E-3</v>
      </c>
      <c r="GZ21">
        <v>21487.599999999999</v>
      </c>
      <c r="HA21">
        <v>22233</v>
      </c>
      <c r="HB21">
        <v>25386</v>
      </c>
      <c r="HC21">
        <v>26064.7</v>
      </c>
      <c r="HD21">
        <v>37687.4</v>
      </c>
      <c r="HE21">
        <v>38834.1</v>
      </c>
      <c r="HF21">
        <v>42499.7</v>
      </c>
      <c r="HG21">
        <v>42080.9</v>
      </c>
      <c r="HH21">
        <v>2.4777999999999998</v>
      </c>
      <c r="HI21">
        <v>2.58392</v>
      </c>
      <c r="HJ21">
        <v>7.39813E-2</v>
      </c>
      <c r="HK21">
        <v>0</v>
      </c>
      <c r="HL21">
        <v>14.602</v>
      </c>
      <c r="HM21">
        <v>999.9</v>
      </c>
      <c r="HN21">
        <v>42.7</v>
      </c>
      <c r="HO21">
        <v>17.5</v>
      </c>
      <c r="HP21">
        <v>8.4060199999999998</v>
      </c>
      <c r="HQ21">
        <v>60.71</v>
      </c>
      <c r="HR21">
        <v>7.9006400000000001</v>
      </c>
      <c r="HS21">
        <v>2</v>
      </c>
      <c r="HT21">
        <v>-0.83260800000000001</v>
      </c>
      <c r="HU21">
        <v>0</v>
      </c>
      <c r="HV21">
        <v>20.379100000000001</v>
      </c>
      <c r="HW21">
        <v>5.2105800000000002</v>
      </c>
      <c r="HX21">
        <v>11.902100000000001</v>
      </c>
      <c r="HY21">
        <v>4.9937199999999997</v>
      </c>
      <c r="HZ21">
        <v>3.28112</v>
      </c>
      <c r="IA21">
        <v>9999</v>
      </c>
      <c r="IB21">
        <v>9999</v>
      </c>
      <c r="IC21">
        <v>9999</v>
      </c>
      <c r="ID21">
        <v>148.69999999999999</v>
      </c>
      <c r="IE21">
        <v>4.9718299999999997</v>
      </c>
      <c r="IF21">
        <v>1.8573</v>
      </c>
      <c r="IG21">
        <v>1.86676</v>
      </c>
      <c r="IH21">
        <v>1.8617300000000001</v>
      </c>
      <c r="II21">
        <v>1.8641700000000001</v>
      </c>
      <c r="IJ21">
        <v>1.8602799999999999</v>
      </c>
      <c r="IK21">
        <v>1.8627899999999999</v>
      </c>
      <c r="IL21">
        <v>1.8602000000000001</v>
      </c>
      <c r="IM21">
        <v>0</v>
      </c>
      <c r="IN21">
        <v>0</v>
      </c>
      <c r="IO21">
        <v>0</v>
      </c>
      <c r="IP21">
        <v>0</v>
      </c>
      <c r="IQ21" t="s">
        <v>443</v>
      </c>
      <c r="IR21" t="s">
        <v>444</v>
      </c>
      <c r="IS21" t="s">
        <v>445</v>
      </c>
      <c r="IT21" t="s">
        <v>445</v>
      </c>
      <c r="IU21" t="s">
        <v>445</v>
      </c>
      <c r="IV21" t="s">
        <v>445</v>
      </c>
      <c r="IW21">
        <v>0</v>
      </c>
      <c r="IX21">
        <v>100</v>
      </c>
      <c r="IY21">
        <v>100</v>
      </c>
      <c r="IZ21">
        <v>-2.0070000000000001</v>
      </c>
      <c r="JA21">
        <v>-9.7299999999999998E-2</v>
      </c>
      <c r="JB21">
        <v>-1.140465381763482</v>
      </c>
      <c r="JC21">
        <v>-2.4932477295996069E-3</v>
      </c>
      <c r="JD21">
        <v>1.159696634280317E-6</v>
      </c>
      <c r="JE21">
        <v>-3.5013845820821591E-10</v>
      </c>
      <c r="JF21">
        <v>-8.6309180691159976E-2</v>
      </c>
      <c r="JG21">
        <v>-7.5935071553627593E-3</v>
      </c>
      <c r="JH21">
        <v>1.367325239740887E-3</v>
      </c>
      <c r="JI21">
        <v>-2.2944115828177239E-5</v>
      </c>
      <c r="JJ21">
        <v>2</v>
      </c>
      <c r="JK21">
        <v>2118</v>
      </c>
      <c r="JL21">
        <v>1</v>
      </c>
      <c r="JM21">
        <v>27</v>
      </c>
      <c r="JN21">
        <v>-799499.3</v>
      </c>
      <c r="JO21">
        <v>-799499.3</v>
      </c>
      <c r="JP21">
        <v>1.24878</v>
      </c>
      <c r="JQ21">
        <v>2.4255399999999998</v>
      </c>
      <c r="JR21">
        <v>2.19604</v>
      </c>
      <c r="JS21">
        <v>2.7209500000000002</v>
      </c>
      <c r="JT21">
        <v>2.1496599999999999</v>
      </c>
      <c r="JU21">
        <v>2.3950200000000001</v>
      </c>
      <c r="JV21">
        <v>21.62</v>
      </c>
      <c r="JW21">
        <v>15.4016</v>
      </c>
      <c r="JX21">
        <v>18</v>
      </c>
      <c r="JY21">
        <v>635.89300000000003</v>
      </c>
      <c r="JZ21">
        <v>799.40499999999997</v>
      </c>
      <c r="KA21">
        <v>15.677899999999999</v>
      </c>
      <c r="KB21">
        <v>16.050799999999999</v>
      </c>
      <c r="KC21">
        <v>30.000299999999999</v>
      </c>
      <c r="KD21">
        <v>16.051100000000002</v>
      </c>
      <c r="KE21">
        <v>16.029299999999999</v>
      </c>
      <c r="KF21">
        <v>25.067499999999999</v>
      </c>
      <c r="KG21">
        <v>100</v>
      </c>
      <c r="KH21">
        <v>0</v>
      </c>
      <c r="KI21">
        <v>-999.9</v>
      </c>
      <c r="KJ21">
        <v>400</v>
      </c>
      <c r="KK21">
        <v>0</v>
      </c>
      <c r="KL21">
        <v>102.97199999999999</v>
      </c>
      <c r="KM21">
        <v>102.99</v>
      </c>
    </row>
    <row r="22" spans="1:299" x14ac:dyDescent="0.2">
      <c r="A22">
        <v>6</v>
      </c>
      <c r="B22" t="s">
        <v>537</v>
      </c>
      <c r="C22">
        <v>6</v>
      </c>
      <c r="D22">
        <v>1707837987</v>
      </c>
      <c r="E22">
        <v>1060</v>
      </c>
      <c r="F22" t="s">
        <v>454</v>
      </c>
      <c r="G22" t="s">
        <v>455</v>
      </c>
      <c r="H22" t="s">
        <v>436</v>
      </c>
      <c r="I22" t="s">
        <v>437</v>
      </c>
      <c r="J22" t="s">
        <v>438</v>
      </c>
      <c r="M22" t="s">
        <v>438</v>
      </c>
      <c r="O22">
        <v>1707837987</v>
      </c>
      <c r="P22">
        <f t="shared" si="0"/>
        <v>6.4755251838246187E-4</v>
      </c>
      <c r="Q22">
        <f t="shared" si="1"/>
        <v>0.64755251838246186</v>
      </c>
      <c r="R22">
        <f t="shared" si="2"/>
        <v>-0.77909977841138278</v>
      </c>
      <c r="S22">
        <f t="shared" si="3"/>
        <v>406.21</v>
      </c>
      <c r="T22">
        <f t="shared" si="4"/>
        <v>426.87737335769702</v>
      </c>
      <c r="U22">
        <f t="shared" si="5"/>
        <v>43.552511580376425</v>
      </c>
      <c r="V22">
        <f t="shared" si="6"/>
        <v>41.443905986181996</v>
      </c>
      <c r="W22">
        <f t="shared" si="7"/>
        <v>3.9684340458090175E-2</v>
      </c>
      <c r="X22">
        <f t="shared" si="8"/>
        <v>2.9653082623427034</v>
      </c>
      <c r="Y22">
        <f t="shared" si="9"/>
        <v>3.9391639592086046E-2</v>
      </c>
      <c r="Z22">
        <f t="shared" si="10"/>
        <v>2.464589264781809E-2</v>
      </c>
      <c r="AA22">
        <f t="shared" si="11"/>
        <v>4.7503420061559996E-3</v>
      </c>
      <c r="AB22">
        <f t="shared" si="12"/>
        <v>16.525982536683536</v>
      </c>
      <c r="AC22">
        <f t="shared" si="13"/>
        <v>15.9999</v>
      </c>
      <c r="AD22">
        <f t="shared" si="14"/>
        <v>1.8246878876734414</v>
      </c>
      <c r="AE22">
        <f t="shared" si="15"/>
        <v>8.591340984804253</v>
      </c>
      <c r="AF22">
        <f t="shared" si="16"/>
        <v>0.16384733605634799</v>
      </c>
      <c r="AG22">
        <f t="shared" si="17"/>
        <v>1.907121790953815</v>
      </c>
      <c r="AH22">
        <f t="shared" si="18"/>
        <v>1.6608405516170934</v>
      </c>
      <c r="AI22">
        <f t="shared" si="19"/>
        <v>-28.557066060666568</v>
      </c>
      <c r="AJ22">
        <f t="shared" si="20"/>
        <v>110.89883542364551</v>
      </c>
      <c r="AK22">
        <f t="shared" si="21"/>
        <v>7.2414376498561239</v>
      </c>
      <c r="AL22">
        <f t="shared" si="22"/>
        <v>89.587957354841222</v>
      </c>
      <c r="AM22">
        <f t="shared" si="23"/>
        <v>-7.9458501431938995</v>
      </c>
      <c r="AN22">
        <f t="shared" si="24"/>
        <v>1.67909460999798</v>
      </c>
      <c r="AO22">
        <f t="shared" si="25"/>
        <v>-0.77909977841138278</v>
      </c>
      <c r="AP22">
        <v>400.06686125772649</v>
      </c>
      <c r="AQ22">
        <v>407.52743030303031</v>
      </c>
      <c r="AR22">
        <v>-1.6777443454138841</v>
      </c>
      <c r="AS22">
        <v>66.970374528409977</v>
      </c>
      <c r="AT22">
        <f t="shared" si="26"/>
        <v>0.64755251838246186</v>
      </c>
      <c r="AU22">
        <v>0.16860476134549041</v>
      </c>
      <c r="AV22">
        <v>1.672766303030303</v>
      </c>
      <c r="AW22">
        <v>-0.20024123854493381</v>
      </c>
      <c r="AX22">
        <v>78.474600760732628</v>
      </c>
      <c r="AY22">
        <v>23</v>
      </c>
      <c r="AZ22">
        <v>3</v>
      </c>
      <c r="BA22">
        <f t="shared" si="27"/>
        <v>1</v>
      </c>
      <c r="BB22">
        <f t="shared" si="28"/>
        <v>0</v>
      </c>
      <c r="BC22">
        <f t="shared" si="29"/>
        <v>55880.377807517347</v>
      </c>
      <c r="BD22" t="s">
        <v>439</v>
      </c>
      <c r="BE22" t="s">
        <v>439</v>
      </c>
      <c r="BF22">
        <v>0</v>
      </c>
      <c r="BG22">
        <v>0</v>
      </c>
      <c r="BH22" t="e">
        <f t="shared" si="30"/>
        <v>#DIV/0!</v>
      </c>
      <c r="BI22">
        <v>0</v>
      </c>
      <c r="BJ22" t="s">
        <v>439</v>
      </c>
      <c r="BK22" t="s">
        <v>439</v>
      </c>
      <c r="BL22">
        <v>0</v>
      </c>
      <c r="BM22">
        <v>0</v>
      </c>
      <c r="BN22" t="e">
        <f t="shared" si="31"/>
        <v>#DIV/0!</v>
      </c>
      <c r="BO22">
        <v>0.5</v>
      </c>
      <c r="BP22">
        <f t="shared" si="32"/>
        <v>2.1001512027215997E-2</v>
      </c>
      <c r="BQ22">
        <f t="shared" si="33"/>
        <v>-0.77909977841138278</v>
      </c>
      <c r="BR22" t="e">
        <f t="shared" si="34"/>
        <v>#DIV/0!</v>
      </c>
      <c r="BS22">
        <f t="shared" si="35"/>
        <v>-37.097318393158659</v>
      </c>
      <c r="BT22" t="e">
        <f t="shared" si="36"/>
        <v>#DIV/0!</v>
      </c>
      <c r="BU22" t="e">
        <f t="shared" si="37"/>
        <v>#DIV/0!</v>
      </c>
      <c r="BV22" t="s">
        <v>439</v>
      </c>
      <c r="BW22">
        <v>0</v>
      </c>
      <c r="BX22" t="e">
        <f t="shared" si="38"/>
        <v>#DIV/0!</v>
      </c>
      <c r="BY22" t="e">
        <f t="shared" si="39"/>
        <v>#DIV/0!</v>
      </c>
      <c r="BZ22" t="e">
        <f t="shared" si="40"/>
        <v>#DIV/0!</v>
      </c>
      <c r="CA22" t="e">
        <f t="shared" si="41"/>
        <v>#DIV/0!</v>
      </c>
      <c r="CB22" t="e">
        <f t="shared" si="42"/>
        <v>#DIV/0!</v>
      </c>
      <c r="CC22" t="e">
        <f t="shared" si="43"/>
        <v>#DIV/0!</v>
      </c>
      <c r="CD22" t="e">
        <f t="shared" si="44"/>
        <v>#DIV/0!</v>
      </c>
      <c r="CE22" t="e">
        <f t="shared" si="45"/>
        <v>#DIV/0!</v>
      </c>
      <c r="DN22">
        <f t="shared" si="46"/>
        <v>5.0001799999999999E-2</v>
      </c>
      <c r="DO22">
        <f t="shared" si="47"/>
        <v>2.1001512027215997E-2</v>
      </c>
      <c r="DP22">
        <f t="shared" si="48"/>
        <v>0.42001511999999996</v>
      </c>
      <c r="DQ22">
        <f t="shared" si="49"/>
        <v>9.5003419999999991E-2</v>
      </c>
      <c r="DR22">
        <v>6</v>
      </c>
      <c r="DS22">
        <v>0.5</v>
      </c>
      <c r="DT22" t="s">
        <v>440</v>
      </c>
      <c r="DU22">
        <v>2</v>
      </c>
      <c r="DV22" t="b">
        <v>1</v>
      </c>
      <c r="DW22">
        <v>1707837987</v>
      </c>
      <c r="DX22">
        <v>406.21</v>
      </c>
      <c r="DY22">
        <v>399.983</v>
      </c>
      <c r="DZ22">
        <v>1.6059399999999999</v>
      </c>
      <c r="EA22">
        <v>0.16882</v>
      </c>
      <c r="EB22">
        <v>408.19900000000001</v>
      </c>
      <c r="EC22">
        <v>1.70133</v>
      </c>
      <c r="ED22">
        <v>699.899</v>
      </c>
      <c r="EE22">
        <v>101.961</v>
      </c>
      <c r="EF22">
        <v>6.4814200000000002E-2</v>
      </c>
      <c r="EG22">
        <v>16.6936</v>
      </c>
      <c r="EH22">
        <v>15.9999</v>
      </c>
      <c r="EI22">
        <v>999.9</v>
      </c>
      <c r="EJ22">
        <v>0</v>
      </c>
      <c r="EK22">
        <v>0</v>
      </c>
      <c r="EL22">
        <v>10009</v>
      </c>
      <c r="EM22">
        <v>0</v>
      </c>
      <c r="EN22">
        <v>1.68183E-3</v>
      </c>
      <c r="EO22">
        <v>6.2271099999999997</v>
      </c>
      <c r="EP22">
        <v>406.86399999999998</v>
      </c>
      <c r="EQ22">
        <v>400.05099999999999</v>
      </c>
      <c r="ER22">
        <v>1.43712</v>
      </c>
      <c r="ES22">
        <v>399.983</v>
      </c>
      <c r="ET22">
        <v>0.16882</v>
      </c>
      <c r="EU22">
        <v>0.163743</v>
      </c>
      <c r="EV22">
        <v>1.7212999999999999E-2</v>
      </c>
      <c r="EW22">
        <v>-16.912800000000001</v>
      </c>
      <c r="EX22">
        <v>-40.860599999999998</v>
      </c>
      <c r="EY22">
        <v>5.0001799999999999E-2</v>
      </c>
      <c r="EZ22">
        <v>0</v>
      </c>
      <c r="FA22">
        <v>0</v>
      </c>
      <c r="FB22">
        <v>0</v>
      </c>
      <c r="FC22">
        <v>516.20000000000005</v>
      </c>
      <c r="FD22">
        <v>5.0001799999999999E-2</v>
      </c>
      <c r="FE22">
        <v>419.23</v>
      </c>
      <c r="FF22">
        <v>5.3</v>
      </c>
      <c r="FG22">
        <v>30.437000000000001</v>
      </c>
      <c r="FH22">
        <v>35.186999999999998</v>
      </c>
      <c r="FI22">
        <v>33.125</v>
      </c>
      <c r="FJ22">
        <v>37.436999999999998</v>
      </c>
      <c r="FK22">
        <v>32.875</v>
      </c>
      <c r="FL22">
        <v>0</v>
      </c>
      <c r="FM22">
        <v>0</v>
      </c>
      <c r="FN22">
        <v>0</v>
      </c>
      <c r="FO22">
        <v>1685732395.9000001</v>
      </c>
      <c r="FP22">
        <v>0</v>
      </c>
      <c r="FQ22">
        <v>523.0684</v>
      </c>
      <c r="FR22">
        <v>-61.108461541613707</v>
      </c>
      <c r="FS22">
        <v>308.72846302476268</v>
      </c>
      <c r="FT22">
        <v>386.90719999999988</v>
      </c>
      <c r="FU22">
        <v>15</v>
      </c>
      <c r="FV22">
        <v>0</v>
      </c>
      <c r="FW22" t="s">
        <v>441</v>
      </c>
      <c r="FX22">
        <v>1755807717.5</v>
      </c>
      <c r="FY22">
        <v>1755807720.5</v>
      </c>
      <c r="FZ22">
        <v>0</v>
      </c>
      <c r="GA22">
        <v>-0.11700000000000001</v>
      </c>
      <c r="GB22">
        <v>-1.6E-2</v>
      </c>
      <c r="GC22">
        <v>-2.0089999999999999</v>
      </c>
      <c r="GD22">
        <v>0.03</v>
      </c>
      <c r="GE22">
        <v>420</v>
      </c>
      <c r="GF22">
        <v>15</v>
      </c>
      <c r="GG22">
        <v>0.09</v>
      </c>
      <c r="GH22">
        <v>0.01</v>
      </c>
      <c r="GI22">
        <v>-65.641612609732618</v>
      </c>
      <c r="GJ22">
        <v>836.66949339290704</v>
      </c>
      <c r="GK22">
        <v>120.877453606209</v>
      </c>
      <c r="GL22">
        <v>0</v>
      </c>
      <c r="GM22">
        <v>0.81735871684832051</v>
      </c>
      <c r="GN22">
        <v>-7.3032098103103262</v>
      </c>
      <c r="GO22">
        <v>0.89551810245898</v>
      </c>
      <c r="GP22">
        <v>0</v>
      </c>
      <c r="GQ22">
        <v>0</v>
      </c>
      <c r="GR22">
        <v>2</v>
      </c>
      <c r="GS22" t="s">
        <v>442</v>
      </c>
      <c r="GT22">
        <v>3.3611499999999999</v>
      </c>
      <c r="GU22">
        <v>2.7591000000000001</v>
      </c>
      <c r="GV22">
        <v>0.100648</v>
      </c>
      <c r="GW22">
        <v>9.8821900000000004E-2</v>
      </c>
      <c r="GX22">
        <v>1.3800700000000001E-2</v>
      </c>
      <c r="GY22">
        <v>1.4918399999999999E-3</v>
      </c>
      <c r="GZ22">
        <v>21534.3</v>
      </c>
      <c r="HA22">
        <v>22228.9</v>
      </c>
      <c r="HB22">
        <v>25383.5</v>
      </c>
      <c r="HC22">
        <v>26059.5</v>
      </c>
      <c r="HD22">
        <v>38119.9</v>
      </c>
      <c r="HE22">
        <v>38828.9</v>
      </c>
      <c r="HF22">
        <v>42495.8</v>
      </c>
      <c r="HG22">
        <v>42076.1</v>
      </c>
      <c r="HH22">
        <v>2.51362</v>
      </c>
      <c r="HI22">
        <v>2.5794999999999999</v>
      </c>
      <c r="HJ22">
        <v>5.1784499999999997E-2</v>
      </c>
      <c r="HK22">
        <v>0</v>
      </c>
      <c r="HL22">
        <v>15.136900000000001</v>
      </c>
      <c r="HM22">
        <v>999.9</v>
      </c>
      <c r="HN22">
        <v>43.8</v>
      </c>
      <c r="HO22">
        <v>17.600000000000001</v>
      </c>
      <c r="HP22">
        <v>8.67624</v>
      </c>
      <c r="HQ22">
        <v>60.56</v>
      </c>
      <c r="HR22">
        <v>8.125</v>
      </c>
      <c r="HS22">
        <v>2</v>
      </c>
      <c r="HT22">
        <v>-0.82404100000000002</v>
      </c>
      <c r="HU22">
        <v>0</v>
      </c>
      <c r="HV22">
        <v>20.379799999999999</v>
      </c>
      <c r="HW22">
        <v>5.2055499999999997</v>
      </c>
      <c r="HX22">
        <v>11.902100000000001</v>
      </c>
      <c r="HY22">
        <v>4.9931200000000002</v>
      </c>
      <c r="HZ22">
        <v>3.28084</v>
      </c>
      <c r="IA22">
        <v>9999</v>
      </c>
      <c r="IB22">
        <v>9999</v>
      </c>
      <c r="IC22">
        <v>9999</v>
      </c>
      <c r="ID22">
        <v>148.80000000000001</v>
      </c>
      <c r="IE22">
        <v>4.9718600000000004</v>
      </c>
      <c r="IF22">
        <v>1.85731</v>
      </c>
      <c r="IG22">
        <v>1.86676</v>
      </c>
      <c r="IH22">
        <v>1.8617699999999999</v>
      </c>
      <c r="II22">
        <v>1.8641799999999999</v>
      </c>
      <c r="IJ22">
        <v>1.8603499999999999</v>
      </c>
      <c r="IK22">
        <v>1.8627899999999999</v>
      </c>
      <c r="IL22">
        <v>1.8602000000000001</v>
      </c>
      <c r="IM22">
        <v>0</v>
      </c>
      <c r="IN22">
        <v>0</v>
      </c>
      <c r="IO22">
        <v>0</v>
      </c>
      <c r="IP22">
        <v>0</v>
      </c>
      <c r="IQ22" t="s">
        <v>443</v>
      </c>
      <c r="IR22" t="s">
        <v>444</v>
      </c>
      <c r="IS22" t="s">
        <v>445</v>
      </c>
      <c r="IT22" t="s">
        <v>445</v>
      </c>
      <c r="IU22" t="s">
        <v>445</v>
      </c>
      <c r="IV22" t="s">
        <v>445</v>
      </c>
      <c r="IW22">
        <v>0</v>
      </c>
      <c r="IX22">
        <v>100</v>
      </c>
      <c r="IY22">
        <v>100</v>
      </c>
      <c r="IZ22">
        <v>-1.9890000000000001</v>
      </c>
      <c r="JA22">
        <v>-9.5399999999999999E-2</v>
      </c>
      <c r="JB22">
        <v>-1.140465381763482</v>
      </c>
      <c r="JC22">
        <v>-2.4932477295996069E-3</v>
      </c>
      <c r="JD22">
        <v>1.159696634280317E-6</v>
      </c>
      <c r="JE22">
        <v>-3.5013845820821591E-10</v>
      </c>
      <c r="JF22">
        <v>-8.6309180691159976E-2</v>
      </c>
      <c r="JG22">
        <v>-7.5935071553627593E-3</v>
      </c>
      <c r="JH22">
        <v>1.367325239740887E-3</v>
      </c>
      <c r="JI22">
        <v>-2.2944115828177239E-5</v>
      </c>
      <c r="JJ22">
        <v>2</v>
      </c>
      <c r="JK22">
        <v>2118</v>
      </c>
      <c r="JL22">
        <v>1</v>
      </c>
      <c r="JM22">
        <v>27</v>
      </c>
      <c r="JN22">
        <v>-799495.5</v>
      </c>
      <c r="JO22">
        <v>-799495.6</v>
      </c>
      <c r="JP22">
        <v>1.24756</v>
      </c>
      <c r="JQ22">
        <v>2.4279799999999998</v>
      </c>
      <c r="JR22">
        <v>2.19604</v>
      </c>
      <c r="JS22">
        <v>2.7209500000000002</v>
      </c>
      <c r="JT22">
        <v>2.1496599999999999</v>
      </c>
      <c r="JU22">
        <v>2.4182100000000002</v>
      </c>
      <c r="JV22">
        <v>21.8613</v>
      </c>
      <c r="JW22">
        <v>15.3491</v>
      </c>
      <c r="JX22">
        <v>18</v>
      </c>
      <c r="JY22">
        <v>662.13199999999995</v>
      </c>
      <c r="JZ22">
        <v>797.74699999999996</v>
      </c>
      <c r="KA22">
        <v>15.930300000000001</v>
      </c>
      <c r="KB22">
        <v>16.1904</v>
      </c>
      <c r="KC22">
        <v>30.000299999999999</v>
      </c>
      <c r="KD22">
        <v>16.169799999999999</v>
      </c>
      <c r="KE22">
        <v>16.1646</v>
      </c>
      <c r="KF22">
        <v>25.0548</v>
      </c>
      <c r="KG22">
        <v>100</v>
      </c>
      <c r="KH22">
        <v>0</v>
      </c>
      <c r="KI22">
        <v>-999.9</v>
      </c>
      <c r="KJ22">
        <v>400</v>
      </c>
      <c r="KK22">
        <v>0</v>
      </c>
      <c r="KL22">
        <v>102.962</v>
      </c>
      <c r="KM22">
        <v>102.97499999999999</v>
      </c>
    </row>
    <row r="23" spans="1:299" x14ac:dyDescent="0.2">
      <c r="A23">
        <v>7</v>
      </c>
      <c r="B23" t="s">
        <v>538</v>
      </c>
      <c r="C23">
        <v>7</v>
      </c>
      <c r="D23">
        <v>1707838398.0999999</v>
      </c>
      <c r="E23">
        <v>1471.099999904633</v>
      </c>
      <c r="F23" t="s">
        <v>456</v>
      </c>
      <c r="G23" t="s">
        <v>457</v>
      </c>
      <c r="H23" t="s">
        <v>436</v>
      </c>
      <c r="I23" t="s">
        <v>437</v>
      </c>
      <c r="J23" t="s">
        <v>438</v>
      </c>
      <c r="M23" t="s">
        <v>438</v>
      </c>
      <c r="O23">
        <v>1707838398.0999999</v>
      </c>
      <c r="P23">
        <f t="shared" si="0"/>
        <v>2.6783953768769018E-4</v>
      </c>
      <c r="Q23">
        <f t="shared" si="1"/>
        <v>0.2678395376876902</v>
      </c>
      <c r="R23">
        <f t="shared" si="2"/>
        <v>5.184915060124264</v>
      </c>
      <c r="S23">
        <f t="shared" si="3"/>
        <v>443.755</v>
      </c>
      <c r="T23">
        <f t="shared" si="4"/>
        <v>27.768705865993244</v>
      </c>
      <c r="U23">
        <f t="shared" si="5"/>
        <v>2.8334240136258892</v>
      </c>
      <c r="V23">
        <f t="shared" si="6"/>
        <v>45.279246329817504</v>
      </c>
      <c r="W23">
        <f t="shared" si="7"/>
        <v>2.025117978330929E-2</v>
      </c>
      <c r="X23">
        <f t="shared" si="8"/>
        <v>2.9606265687205897</v>
      </c>
      <c r="Y23">
        <f t="shared" si="9"/>
        <v>2.0174537905051058E-2</v>
      </c>
      <c r="Z23">
        <f t="shared" si="10"/>
        <v>1.2615947880551107E-2</v>
      </c>
      <c r="AA23">
        <f t="shared" si="11"/>
        <v>19.582403263893788</v>
      </c>
      <c r="AB23">
        <f t="shared" si="12"/>
        <v>17.216171850348346</v>
      </c>
      <c r="AC23">
        <f t="shared" si="13"/>
        <v>15.85</v>
      </c>
      <c r="AD23">
        <f t="shared" si="14"/>
        <v>1.8072918119865617</v>
      </c>
      <c r="AE23">
        <f t="shared" si="15"/>
        <v>23.795619642780959</v>
      </c>
      <c r="AF23">
        <f t="shared" si="16"/>
        <v>0.46774388461108002</v>
      </c>
      <c r="AG23">
        <f t="shared" si="17"/>
        <v>1.9656722188068032</v>
      </c>
      <c r="AH23">
        <f t="shared" si="18"/>
        <v>1.3395479273754818</v>
      </c>
      <c r="AI23">
        <f t="shared" si="19"/>
        <v>-11.811723612027137</v>
      </c>
      <c r="AJ23">
        <f t="shared" si="20"/>
        <v>210.76936208596763</v>
      </c>
      <c r="AK23">
        <f t="shared" si="21"/>
        <v>13.807948182543774</v>
      </c>
      <c r="AL23">
        <f t="shared" si="22"/>
        <v>232.34798992037804</v>
      </c>
      <c r="AM23">
        <f t="shared" si="23"/>
        <v>-53.295335141713643</v>
      </c>
      <c r="AN23">
        <f t="shared" si="24"/>
        <v>5.1757267900386807</v>
      </c>
      <c r="AO23">
        <f t="shared" si="25"/>
        <v>5.184915060124264</v>
      </c>
      <c r="AP23">
        <v>400.10266948638781</v>
      </c>
      <c r="AQ23">
        <v>449.99583030303017</v>
      </c>
      <c r="AR23">
        <v>-13.44260378624443</v>
      </c>
      <c r="AS23">
        <v>66.962330365811482</v>
      </c>
      <c r="AT23">
        <f t="shared" si="26"/>
        <v>0.2678395376876902</v>
      </c>
      <c r="AU23">
        <v>0.1667267419544346</v>
      </c>
      <c r="AV23">
        <v>4.8662439999999991</v>
      </c>
      <c r="AW23">
        <v>-0.94391078196679001</v>
      </c>
      <c r="AX23">
        <v>78.464692128060094</v>
      </c>
      <c r="AY23">
        <v>8</v>
      </c>
      <c r="AZ23">
        <v>1</v>
      </c>
      <c r="BA23">
        <f t="shared" si="27"/>
        <v>1</v>
      </c>
      <c r="BB23">
        <f t="shared" si="28"/>
        <v>0</v>
      </c>
      <c r="BC23">
        <f t="shared" si="29"/>
        <v>55646.953273070321</v>
      </c>
      <c r="BD23" t="s">
        <v>439</v>
      </c>
      <c r="BE23" t="s">
        <v>439</v>
      </c>
      <c r="BF23">
        <v>0</v>
      </c>
      <c r="BG23">
        <v>0</v>
      </c>
      <c r="BH23" t="e">
        <f t="shared" si="30"/>
        <v>#DIV/0!</v>
      </c>
      <c r="BI23">
        <v>0</v>
      </c>
      <c r="BJ23" t="s">
        <v>439</v>
      </c>
      <c r="BK23" t="s">
        <v>439</v>
      </c>
      <c r="BL23">
        <v>0</v>
      </c>
      <c r="BM23">
        <v>0</v>
      </c>
      <c r="BN23" t="e">
        <f t="shared" si="31"/>
        <v>#DIV/0!</v>
      </c>
      <c r="BO23">
        <v>0.5</v>
      </c>
      <c r="BP23">
        <f t="shared" si="32"/>
        <v>84.335156631946901</v>
      </c>
      <c r="BQ23">
        <f t="shared" si="33"/>
        <v>5.184915060124264</v>
      </c>
      <c r="BR23" t="e">
        <f t="shared" si="34"/>
        <v>#DIV/0!</v>
      </c>
      <c r="BS23">
        <f t="shared" si="35"/>
        <v>6.1479877042881693E-2</v>
      </c>
      <c r="BT23" t="e">
        <f t="shared" si="36"/>
        <v>#DIV/0!</v>
      </c>
      <c r="BU23" t="e">
        <f t="shared" si="37"/>
        <v>#DIV/0!</v>
      </c>
      <c r="BV23" t="s">
        <v>439</v>
      </c>
      <c r="BW23">
        <v>0</v>
      </c>
      <c r="BX23" t="e">
        <f t="shared" si="38"/>
        <v>#DIV/0!</v>
      </c>
      <c r="BY23" t="e">
        <f t="shared" si="39"/>
        <v>#DIV/0!</v>
      </c>
      <c r="BZ23" t="e">
        <f t="shared" si="40"/>
        <v>#DIV/0!</v>
      </c>
      <c r="CA23" t="e">
        <f t="shared" si="41"/>
        <v>#DIV/0!</v>
      </c>
      <c r="CB23" t="e">
        <f t="shared" si="42"/>
        <v>#DIV/0!</v>
      </c>
      <c r="CC23" t="e">
        <f t="shared" si="43"/>
        <v>#DIV/0!</v>
      </c>
      <c r="CD23" t="e">
        <f t="shared" si="44"/>
        <v>#DIV/0!</v>
      </c>
      <c r="CE23" t="e">
        <f t="shared" si="45"/>
        <v>#DIV/0!</v>
      </c>
      <c r="DN23">
        <f t="shared" si="46"/>
        <v>100.059</v>
      </c>
      <c r="DO23">
        <f t="shared" si="47"/>
        <v>84.335156631946901</v>
      </c>
      <c r="DP23">
        <f t="shared" si="48"/>
        <v>0.84285428229291615</v>
      </c>
      <c r="DQ23">
        <f t="shared" si="49"/>
        <v>0.19570856458583225</v>
      </c>
      <c r="DR23">
        <v>6</v>
      </c>
      <c r="DS23">
        <v>0.5</v>
      </c>
      <c r="DT23" t="s">
        <v>440</v>
      </c>
      <c r="DU23">
        <v>2</v>
      </c>
      <c r="DV23" t="b">
        <v>1</v>
      </c>
      <c r="DW23">
        <v>1707838398.0999999</v>
      </c>
      <c r="DX23">
        <v>443.755</v>
      </c>
      <c r="DY23">
        <v>400.03100000000001</v>
      </c>
      <c r="DZ23">
        <v>4.5840800000000002</v>
      </c>
      <c r="EA23">
        <v>0.16697500000000001</v>
      </c>
      <c r="EB23">
        <v>445.80799999999999</v>
      </c>
      <c r="EC23">
        <v>4.6783400000000004</v>
      </c>
      <c r="ED23">
        <v>699.82500000000005</v>
      </c>
      <c r="EE23">
        <v>101.971</v>
      </c>
      <c r="EF23">
        <v>6.5588499999999994E-2</v>
      </c>
      <c r="EG23">
        <v>17.170500000000001</v>
      </c>
      <c r="EH23">
        <v>15.85</v>
      </c>
      <c r="EI23">
        <v>999.9</v>
      </c>
      <c r="EJ23">
        <v>0</v>
      </c>
      <c r="EK23">
        <v>0</v>
      </c>
      <c r="EL23">
        <v>9981.5</v>
      </c>
      <c r="EM23">
        <v>0</v>
      </c>
      <c r="EN23">
        <v>1.56716E-3</v>
      </c>
      <c r="EO23">
        <v>43.724200000000003</v>
      </c>
      <c r="EP23">
        <v>445.79899999999998</v>
      </c>
      <c r="EQ23">
        <v>400.09800000000001</v>
      </c>
      <c r="ER23">
        <v>4.4171100000000001</v>
      </c>
      <c r="ES23">
        <v>400.03100000000001</v>
      </c>
      <c r="ET23">
        <v>0.16697500000000001</v>
      </c>
      <c r="EU23">
        <v>0.467443</v>
      </c>
      <c r="EV23">
        <v>1.7026599999999999E-2</v>
      </c>
      <c r="EW23">
        <v>-3.6896</v>
      </c>
      <c r="EX23">
        <v>-40.963999999999999</v>
      </c>
      <c r="EY23">
        <v>100.059</v>
      </c>
      <c r="EZ23">
        <v>0.89983999999999997</v>
      </c>
      <c r="FA23">
        <v>0.10016</v>
      </c>
      <c r="FB23">
        <v>0</v>
      </c>
      <c r="FC23">
        <v>889.09</v>
      </c>
      <c r="FD23">
        <v>5.0001800000000003</v>
      </c>
      <c r="FE23">
        <v>2806.62</v>
      </c>
      <c r="FF23">
        <v>796.54100000000005</v>
      </c>
      <c r="FG23">
        <v>31.937000000000001</v>
      </c>
      <c r="FH23">
        <v>36.125</v>
      </c>
      <c r="FI23">
        <v>34.436999999999998</v>
      </c>
      <c r="FJ23">
        <v>38.436999999999998</v>
      </c>
      <c r="FK23">
        <v>34.375</v>
      </c>
      <c r="FL23">
        <v>85.54</v>
      </c>
      <c r="FM23">
        <v>9.52</v>
      </c>
      <c r="FN23">
        <v>0</v>
      </c>
      <c r="FO23">
        <v>1685732807.5</v>
      </c>
      <c r="FP23">
        <v>0</v>
      </c>
      <c r="FQ23">
        <v>542.08647599999995</v>
      </c>
      <c r="FR23">
        <v>4729.3710661261002</v>
      </c>
      <c r="FS23">
        <v>-504398.57172439381</v>
      </c>
      <c r="FT23">
        <v>40856.261599999998</v>
      </c>
      <c r="FU23">
        <v>15</v>
      </c>
      <c r="FV23">
        <v>0</v>
      </c>
      <c r="FW23" t="s">
        <v>441</v>
      </c>
      <c r="FX23">
        <v>1755807717.5</v>
      </c>
      <c r="FY23">
        <v>1755807720.5</v>
      </c>
      <c r="FZ23">
        <v>0</v>
      </c>
      <c r="GA23">
        <v>-0.11700000000000001</v>
      </c>
      <c r="GB23">
        <v>-1.6E-2</v>
      </c>
      <c r="GC23">
        <v>-2.0089999999999999</v>
      </c>
      <c r="GD23">
        <v>0.03</v>
      </c>
      <c r="GE23">
        <v>420</v>
      </c>
      <c r="GF23">
        <v>15</v>
      </c>
      <c r="GG23">
        <v>0.09</v>
      </c>
      <c r="GH23">
        <v>0.01</v>
      </c>
      <c r="GI23">
        <v>-119.99830376800141</v>
      </c>
      <c r="GJ23">
        <v>219.71440458699661</v>
      </c>
      <c r="GK23">
        <v>72.053407845414867</v>
      </c>
      <c r="GL23">
        <v>0</v>
      </c>
      <c r="GM23">
        <v>1.703003993292338</v>
      </c>
      <c r="GN23">
        <v>-4.5552647008898068</v>
      </c>
      <c r="GO23">
        <v>0.76552554883617974</v>
      </c>
      <c r="GP23">
        <v>0</v>
      </c>
      <c r="GQ23">
        <v>0</v>
      </c>
      <c r="GR23">
        <v>2</v>
      </c>
      <c r="GS23" t="s">
        <v>442</v>
      </c>
      <c r="GT23">
        <v>3.3610500000000001</v>
      </c>
      <c r="GU23">
        <v>2.7596400000000001</v>
      </c>
      <c r="GV23">
        <v>0.10749499999999999</v>
      </c>
      <c r="GW23">
        <v>9.8795999999999995E-2</v>
      </c>
      <c r="GX23">
        <v>3.3782E-2</v>
      </c>
      <c r="GY23">
        <v>1.4749800000000001E-3</v>
      </c>
      <c r="GZ23">
        <v>21370.1</v>
      </c>
      <c r="HA23">
        <v>22229.599999999999</v>
      </c>
      <c r="HB23">
        <v>25382.6</v>
      </c>
      <c r="HC23">
        <v>26060.3</v>
      </c>
      <c r="HD23">
        <v>37341.9</v>
      </c>
      <c r="HE23">
        <v>38832.6</v>
      </c>
      <c r="HF23">
        <v>42494.7</v>
      </c>
      <c r="HG23">
        <v>42079.5</v>
      </c>
      <c r="HH23">
        <v>2.53444</v>
      </c>
      <c r="HI23">
        <v>2.5756800000000002</v>
      </c>
      <c r="HJ23">
        <v>-3.9041E-4</v>
      </c>
      <c r="HK23">
        <v>0</v>
      </c>
      <c r="HL23">
        <v>15.8566</v>
      </c>
      <c r="HM23">
        <v>999.9</v>
      </c>
      <c r="HN23">
        <v>43.9</v>
      </c>
      <c r="HO23">
        <v>17.8</v>
      </c>
      <c r="HP23">
        <v>8.8054900000000007</v>
      </c>
      <c r="HQ23">
        <v>60.764600000000002</v>
      </c>
      <c r="HR23">
        <v>8.3533600000000003</v>
      </c>
      <c r="HS23">
        <v>2</v>
      </c>
      <c r="HT23">
        <v>-0.815724</v>
      </c>
      <c r="HU23">
        <v>0</v>
      </c>
      <c r="HV23">
        <v>20.3795</v>
      </c>
      <c r="HW23">
        <v>5.20974</v>
      </c>
      <c r="HX23">
        <v>11.902100000000001</v>
      </c>
      <c r="HY23">
        <v>4.9937199999999997</v>
      </c>
      <c r="HZ23">
        <v>3.28118</v>
      </c>
      <c r="IA23">
        <v>9999</v>
      </c>
      <c r="IB23">
        <v>9999</v>
      </c>
      <c r="IC23">
        <v>9999</v>
      </c>
      <c r="ID23">
        <v>148.9</v>
      </c>
      <c r="IE23">
        <v>4.9718499999999999</v>
      </c>
      <c r="IF23">
        <v>1.8573599999999999</v>
      </c>
      <c r="IG23">
        <v>1.86676</v>
      </c>
      <c r="IH23">
        <v>1.86185</v>
      </c>
      <c r="II23">
        <v>1.8642099999999999</v>
      </c>
      <c r="IJ23">
        <v>1.8603499999999999</v>
      </c>
      <c r="IK23">
        <v>1.8627899999999999</v>
      </c>
      <c r="IL23">
        <v>1.8602000000000001</v>
      </c>
      <c r="IM23">
        <v>0</v>
      </c>
      <c r="IN23">
        <v>0</v>
      </c>
      <c r="IO23">
        <v>0</v>
      </c>
      <c r="IP23">
        <v>0</v>
      </c>
      <c r="IQ23" t="s">
        <v>443</v>
      </c>
      <c r="IR23" t="s">
        <v>444</v>
      </c>
      <c r="IS23" t="s">
        <v>445</v>
      </c>
      <c r="IT23" t="s">
        <v>445</v>
      </c>
      <c r="IU23" t="s">
        <v>445</v>
      </c>
      <c r="IV23" t="s">
        <v>445</v>
      </c>
      <c r="IW23">
        <v>0</v>
      </c>
      <c r="IX23">
        <v>100</v>
      </c>
      <c r="IY23">
        <v>100</v>
      </c>
      <c r="IZ23">
        <v>-2.0529999999999999</v>
      </c>
      <c r="JA23">
        <v>-9.4299999999999995E-2</v>
      </c>
      <c r="JB23">
        <v>-1.140465381763482</v>
      </c>
      <c r="JC23">
        <v>-2.4932477295996069E-3</v>
      </c>
      <c r="JD23">
        <v>1.159696634280317E-6</v>
      </c>
      <c r="JE23">
        <v>-3.5013845820821591E-10</v>
      </c>
      <c r="JF23">
        <v>-8.6309180691159976E-2</v>
      </c>
      <c r="JG23">
        <v>-7.5935071553627593E-3</v>
      </c>
      <c r="JH23">
        <v>1.367325239740887E-3</v>
      </c>
      <c r="JI23">
        <v>-2.2944115828177239E-5</v>
      </c>
      <c r="JJ23">
        <v>2</v>
      </c>
      <c r="JK23">
        <v>2118</v>
      </c>
      <c r="JL23">
        <v>1</v>
      </c>
      <c r="JM23">
        <v>27</v>
      </c>
      <c r="JN23">
        <v>-799488.7</v>
      </c>
      <c r="JO23">
        <v>-799488.7</v>
      </c>
      <c r="JP23">
        <v>1.24634</v>
      </c>
      <c r="JQ23">
        <v>2.4304199999999998</v>
      </c>
      <c r="JR23">
        <v>2.19604</v>
      </c>
      <c r="JS23">
        <v>2.7197300000000002</v>
      </c>
      <c r="JT23">
        <v>2.1496599999999999</v>
      </c>
      <c r="JU23">
        <v>2.3986800000000001</v>
      </c>
      <c r="JV23">
        <v>22.143000000000001</v>
      </c>
      <c r="JW23">
        <v>15.2265</v>
      </c>
      <c r="JX23">
        <v>18</v>
      </c>
      <c r="JY23">
        <v>679.34799999999996</v>
      </c>
      <c r="JZ23">
        <v>797.24</v>
      </c>
      <c r="KA23">
        <v>16.4221</v>
      </c>
      <c r="KB23">
        <v>16.337499999999999</v>
      </c>
      <c r="KC23">
        <v>30.000499999999999</v>
      </c>
      <c r="KD23">
        <v>16.3459</v>
      </c>
      <c r="KE23">
        <v>16.3353</v>
      </c>
      <c r="KF23">
        <v>25.041699999999999</v>
      </c>
      <c r="KG23">
        <v>100</v>
      </c>
      <c r="KH23">
        <v>0</v>
      </c>
      <c r="KI23">
        <v>-999.9</v>
      </c>
      <c r="KJ23">
        <v>400</v>
      </c>
      <c r="KK23">
        <v>0</v>
      </c>
      <c r="KL23">
        <v>102.959</v>
      </c>
      <c r="KM23">
        <v>102.98099999999999</v>
      </c>
    </row>
    <row r="24" spans="1:299" x14ac:dyDescent="0.2">
      <c r="A24">
        <v>8</v>
      </c>
      <c r="B24" t="s">
        <v>538</v>
      </c>
      <c r="C24">
        <v>8</v>
      </c>
      <c r="D24">
        <v>1707838691.0999999</v>
      </c>
      <c r="E24">
        <v>1764.099999904633</v>
      </c>
      <c r="F24" t="s">
        <v>458</v>
      </c>
      <c r="G24" t="s">
        <v>459</v>
      </c>
      <c r="H24" t="s">
        <v>436</v>
      </c>
      <c r="I24" t="s">
        <v>437</v>
      </c>
      <c r="J24" t="s">
        <v>438</v>
      </c>
      <c r="M24" t="s">
        <v>438</v>
      </c>
      <c r="O24">
        <v>1707838691.0999999</v>
      </c>
      <c r="P24">
        <f t="shared" si="0"/>
        <v>-1.1770313615605356E-4</v>
      </c>
      <c r="Q24">
        <f t="shared" si="1"/>
        <v>-0.11770313615605356</v>
      </c>
      <c r="R24">
        <f t="shared" si="2"/>
        <v>1.981853223664694</v>
      </c>
      <c r="S24">
        <f t="shared" si="3"/>
        <v>415.06400000000002</v>
      </c>
      <c r="T24">
        <f t="shared" si="4"/>
        <v>618.58252508973146</v>
      </c>
      <c r="U24">
        <f t="shared" si="5"/>
        <v>63.122258226065767</v>
      </c>
      <c r="V24">
        <f t="shared" si="6"/>
        <v>42.354537875998403</v>
      </c>
      <c r="W24">
        <f t="shared" si="7"/>
        <v>-1.5065959340409097E-2</v>
      </c>
      <c r="X24">
        <f t="shared" si="8"/>
        <v>2.9642950278356652</v>
      </c>
      <c r="Y24">
        <f t="shared" si="9"/>
        <v>-1.5108629694834487E-2</v>
      </c>
      <c r="Z24">
        <f t="shared" si="10"/>
        <v>-9.439049855426089E-3</v>
      </c>
      <c r="AA24">
        <f t="shared" si="11"/>
        <v>105.08286232365066</v>
      </c>
      <c r="AB24">
        <f t="shared" si="12"/>
        <v>18.141941627416671</v>
      </c>
      <c r="AC24">
        <f t="shared" si="13"/>
        <v>16.385100000000001</v>
      </c>
      <c r="AD24">
        <f t="shared" si="14"/>
        <v>1.8700669685243323</v>
      </c>
      <c r="AE24">
        <f t="shared" si="15"/>
        <v>54.158456971415511</v>
      </c>
      <c r="AF24">
        <f t="shared" si="16"/>
        <v>1.0866192491431601</v>
      </c>
      <c r="AG24">
        <f t="shared" si="17"/>
        <v>2.0063703988403341</v>
      </c>
      <c r="AH24">
        <f t="shared" si="18"/>
        <v>0.78344771938117219</v>
      </c>
      <c r="AI24">
        <f t="shared" si="19"/>
        <v>5.1907083044819622</v>
      </c>
      <c r="AJ24">
        <f t="shared" si="20"/>
        <v>177.32636720073461</v>
      </c>
      <c r="AK24">
        <f t="shared" si="21"/>
        <v>11.654365757486024</v>
      </c>
      <c r="AL24">
        <f t="shared" si="22"/>
        <v>299.25430358635322</v>
      </c>
      <c r="AM24">
        <f t="shared" si="23"/>
        <v>-17.482525711354882</v>
      </c>
      <c r="AN24">
        <f t="shared" si="24"/>
        <v>-2.2045404191067902E-2</v>
      </c>
      <c r="AO24">
        <f t="shared" si="25"/>
        <v>1.981853223664694</v>
      </c>
      <c r="AP24">
        <v>404.36363633371451</v>
      </c>
      <c r="AQ24">
        <v>421.29650909090901</v>
      </c>
      <c r="AR24">
        <v>-4.6197528971984454</v>
      </c>
      <c r="AS24">
        <v>66.940342586050107</v>
      </c>
      <c r="AT24">
        <f t="shared" si="26"/>
        <v>-0.11770313615605356</v>
      </c>
      <c r="AU24">
        <v>10.720454433053339</v>
      </c>
      <c r="AV24">
        <v>10.655129090909091</v>
      </c>
      <c r="AW24">
        <v>-7.2963051153515698E-3</v>
      </c>
      <c r="AX24">
        <v>78.43885056366922</v>
      </c>
      <c r="AY24">
        <v>100</v>
      </c>
      <c r="AZ24">
        <v>14</v>
      </c>
      <c r="BA24">
        <f t="shared" si="27"/>
        <v>1</v>
      </c>
      <c r="BB24">
        <f t="shared" si="28"/>
        <v>0</v>
      </c>
      <c r="BC24">
        <f t="shared" si="29"/>
        <v>55696.121092068061</v>
      </c>
      <c r="BD24" t="s">
        <v>439</v>
      </c>
      <c r="BE24" t="s">
        <v>439</v>
      </c>
      <c r="BF24">
        <v>0</v>
      </c>
      <c r="BG24">
        <v>0</v>
      </c>
      <c r="BH24" t="e">
        <f t="shared" si="30"/>
        <v>#DIV/0!</v>
      </c>
      <c r="BI24">
        <v>0</v>
      </c>
      <c r="BJ24" t="s">
        <v>439</v>
      </c>
      <c r="BK24" t="s">
        <v>439</v>
      </c>
      <c r="BL24">
        <v>0</v>
      </c>
      <c r="BM24">
        <v>0</v>
      </c>
      <c r="BN24" t="e">
        <f t="shared" si="31"/>
        <v>#DIV/0!</v>
      </c>
      <c r="BO24">
        <v>0.5</v>
      </c>
      <c r="BP24">
        <f t="shared" si="32"/>
        <v>462.27131616182527</v>
      </c>
      <c r="BQ24">
        <f t="shared" si="33"/>
        <v>1.981853223664694</v>
      </c>
      <c r="BR24" t="e">
        <f t="shared" si="34"/>
        <v>#DIV/0!</v>
      </c>
      <c r="BS24">
        <f t="shared" si="35"/>
        <v>4.2872078677079657E-3</v>
      </c>
      <c r="BT24" t="e">
        <f t="shared" si="36"/>
        <v>#DIV/0!</v>
      </c>
      <c r="BU24" t="e">
        <f t="shared" si="37"/>
        <v>#DIV/0!</v>
      </c>
      <c r="BV24" t="s">
        <v>439</v>
      </c>
      <c r="BW24">
        <v>0</v>
      </c>
      <c r="BX24" t="e">
        <f t="shared" si="38"/>
        <v>#DIV/0!</v>
      </c>
      <c r="BY24" t="e">
        <f t="shared" si="39"/>
        <v>#DIV/0!</v>
      </c>
      <c r="BZ24" t="e">
        <f t="shared" si="40"/>
        <v>#DIV/0!</v>
      </c>
      <c r="CA24" t="e">
        <f t="shared" si="41"/>
        <v>#DIV/0!</v>
      </c>
      <c r="CB24" t="e">
        <f t="shared" si="42"/>
        <v>#DIV/0!</v>
      </c>
      <c r="CC24" t="e">
        <f t="shared" si="43"/>
        <v>#DIV/0!</v>
      </c>
      <c r="CD24" t="e">
        <f t="shared" si="44"/>
        <v>#DIV/0!</v>
      </c>
      <c r="CE24" t="e">
        <f t="shared" si="45"/>
        <v>#DIV/0!</v>
      </c>
      <c r="DN24">
        <f t="shared" si="46"/>
        <v>549.97299999999996</v>
      </c>
      <c r="DO24">
        <f t="shared" si="47"/>
        <v>462.27131616182527</v>
      </c>
      <c r="DP24">
        <f t="shared" si="48"/>
        <v>0.840534564718314</v>
      </c>
      <c r="DQ24">
        <f t="shared" si="49"/>
        <v>0.1910691294366281</v>
      </c>
      <c r="DR24">
        <v>6</v>
      </c>
      <c r="DS24">
        <v>0.5</v>
      </c>
      <c r="DT24" t="s">
        <v>440</v>
      </c>
      <c r="DU24">
        <v>2</v>
      </c>
      <c r="DV24" t="b">
        <v>1</v>
      </c>
      <c r="DW24">
        <v>1707838691.0999999</v>
      </c>
      <c r="DX24">
        <v>415.06400000000002</v>
      </c>
      <c r="DY24">
        <v>400.06700000000001</v>
      </c>
      <c r="DZ24">
        <v>10.6486</v>
      </c>
      <c r="EA24">
        <v>10.667299999999999</v>
      </c>
      <c r="EB24">
        <v>417.06799999999998</v>
      </c>
      <c r="EC24">
        <v>10.687900000000001</v>
      </c>
      <c r="ED24">
        <v>699.80700000000002</v>
      </c>
      <c r="EE24">
        <v>101.98399999999999</v>
      </c>
      <c r="EF24">
        <v>5.9390600000000002E-2</v>
      </c>
      <c r="EG24">
        <v>17.494700000000002</v>
      </c>
      <c r="EH24">
        <v>16.385100000000001</v>
      </c>
      <c r="EI24">
        <v>999.9</v>
      </c>
      <c r="EJ24">
        <v>0</v>
      </c>
      <c r="EK24">
        <v>0</v>
      </c>
      <c r="EL24">
        <v>10001</v>
      </c>
      <c r="EM24">
        <v>0</v>
      </c>
      <c r="EN24">
        <v>1.64361E-3</v>
      </c>
      <c r="EO24">
        <v>14.997</v>
      </c>
      <c r="EP24">
        <v>419.53199999999998</v>
      </c>
      <c r="EQ24">
        <v>404.38099999999997</v>
      </c>
      <c r="ER24">
        <v>-1.8677699999999998E-2</v>
      </c>
      <c r="ES24">
        <v>400.06700000000001</v>
      </c>
      <c r="ET24">
        <v>10.667299999999999</v>
      </c>
      <c r="EU24">
        <v>1.08599</v>
      </c>
      <c r="EV24">
        <v>1.08789</v>
      </c>
      <c r="EW24">
        <v>8.1240699999999997</v>
      </c>
      <c r="EX24">
        <v>8.1498600000000003</v>
      </c>
      <c r="EY24">
        <v>549.97299999999996</v>
      </c>
      <c r="EZ24">
        <v>0.98202299999999998</v>
      </c>
      <c r="FA24">
        <v>1.7977199999999999E-2</v>
      </c>
      <c r="FB24">
        <v>0</v>
      </c>
      <c r="FC24">
        <v>945.54899999999998</v>
      </c>
      <c r="FD24">
        <v>5.0001800000000003</v>
      </c>
      <c r="FE24">
        <v>11355.8</v>
      </c>
      <c r="FF24">
        <v>4677</v>
      </c>
      <c r="FG24">
        <v>32.875</v>
      </c>
      <c r="FH24">
        <v>36.686999999999998</v>
      </c>
      <c r="FI24">
        <v>34.936999999999998</v>
      </c>
      <c r="FJ24">
        <v>39.125</v>
      </c>
      <c r="FK24">
        <v>35.061999999999998</v>
      </c>
      <c r="FL24">
        <v>535.17999999999995</v>
      </c>
      <c r="FM24">
        <v>9.8000000000000007</v>
      </c>
      <c r="FN24">
        <v>0</v>
      </c>
      <c r="FO24">
        <v>1685733100.3</v>
      </c>
      <c r="FP24">
        <v>0</v>
      </c>
      <c r="FQ24">
        <v>771.73072000000002</v>
      </c>
      <c r="FR24">
        <v>3897.0128056071489</v>
      </c>
      <c r="FS24">
        <v>-1075008.1100167299</v>
      </c>
      <c r="FT24">
        <v>77133.881600000008</v>
      </c>
      <c r="FU24">
        <v>15</v>
      </c>
      <c r="FV24">
        <v>0</v>
      </c>
      <c r="FW24" t="s">
        <v>441</v>
      </c>
      <c r="FX24">
        <v>1755807717.5</v>
      </c>
      <c r="FY24">
        <v>1755807720.5</v>
      </c>
      <c r="FZ24">
        <v>0</v>
      </c>
      <c r="GA24">
        <v>-0.11700000000000001</v>
      </c>
      <c r="GB24">
        <v>-1.6E-2</v>
      </c>
      <c r="GC24">
        <v>-2.0089999999999999</v>
      </c>
      <c r="GD24">
        <v>0.03</v>
      </c>
      <c r="GE24">
        <v>420</v>
      </c>
      <c r="GF24">
        <v>15</v>
      </c>
      <c r="GG24">
        <v>0.09</v>
      </c>
      <c r="GH24">
        <v>0.01</v>
      </c>
      <c r="GI24">
        <v>-39.485048639878983</v>
      </c>
      <c r="GJ24">
        <v>-107.6726482084604</v>
      </c>
      <c r="GK24">
        <v>52.104948575189617</v>
      </c>
      <c r="GL24">
        <v>0</v>
      </c>
      <c r="GM24">
        <v>-4.3703260343692242E-2</v>
      </c>
      <c r="GN24">
        <v>-2.1262572064252559E-2</v>
      </c>
      <c r="GO24">
        <v>1.5591415988304149E-2</v>
      </c>
      <c r="GP24">
        <v>1</v>
      </c>
      <c r="GQ24">
        <v>1</v>
      </c>
      <c r="GR24">
        <v>2</v>
      </c>
      <c r="GS24" t="s">
        <v>460</v>
      </c>
      <c r="GT24">
        <v>3.3652500000000001</v>
      </c>
      <c r="GU24">
        <v>2.7536200000000002</v>
      </c>
      <c r="GV24">
        <v>0.102275</v>
      </c>
      <c r="GW24">
        <v>9.8841100000000001E-2</v>
      </c>
      <c r="GX24">
        <v>6.6052299999999994E-2</v>
      </c>
      <c r="GY24">
        <v>6.5402199999999994E-2</v>
      </c>
      <c r="GZ24">
        <v>21476.400000000001</v>
      </c>
      <c r="HA24">
        <v>22211.3</v>
      </c>
      <c r="HB24">
        <v>25361.4</v>
      </c>
      <c r="HC24">
        <v>26039.3</v>
      </c>
      <c r="HD24">
        <v>36052.5</v>
      </c>
      <c r="HE24">
        <v>36305.5</v>
      </c>
      <c r="HF24">
        <v>42459.4</v>
      </c>
      <c r="HG24">
        <v>42049</v>
      </c>
      <c r="HH24">
        <v>2.3640400000000001</v>
      </c>
      <c r="HI24">
        <v>2.5926999999999998</v>
      </c>
      <c r="HJ24">
        <v>3.3769E-2</v>
      </c>
      <c r="HK24">
        <v>0</v>
      </c>
      <c r="HL24">
        <v>15.822900000000001</v>
      </c>
      <c r="HM24">
        <v>999.9</v>
      </c>
      <c r="HN24">
        <v>52.1</v>
      </c>
      <c r="HO24">
        <v>18</v>
      </c>
      <c r="HP24">
        <v>10.581899999999999</v>
      </c>
      <c r="HQ24">
        <v>60.4146</v>
      </c>
      <c r="HR24">
        <v>7.0192300000000003</v>
      </c>
      <c r="HS24">
        <v>2</v>
      </c>
      <c r="HT24">
        <v>-0.78995499999999996</v>
      </c>
      <c r="HU24">
        <v>0</v>
      </c>
      <c r="HV24">
        <v>20.375</v>
      </c>
      <c r="HW24">
        <v>5.20519</v>
      </c>
      <c r="HX24">
        <v>11.902100000000001</v>
      </c>
      <c r="HY24">
        <v>4.9926399999999997</v>
      </c>
      <c r="HZ24">
        <v>3.2805399999999998</v>
      </c>
      <c r="IA24">
        <v>9999</v>
      </c>
      <c r="IB24">
        <v>9999</v>
      </c>
      <c r="IC24">
        <v>9999</v>
      </c>
      <c r="ID24">
        <v>149</v>
      </c>
      <c r="IE24">
        <v>4.9718499999999999</v>
      </c>
      <c r="IF24">
        <v>1.8574299999999999</v>
      </c>
      <c r="IG24">
        <v>1.8667899999999999</v>
      </c>
      <c r="IH24">
        <v>1.86188</v>
      </c>
      <c r="II24">
        <v>1.8642700000000001</v>
      </c>
      <c r="IJ24">
        <v>1.8603499999999999</v>
      </c>
      <c r="IK24">
        <v>1.8628</v>
      </c>
      <c r="IL24">
        <v>1.86022</v>
      </c>
      <c r="IM24">
        <v>0</v>
      </c>
      <c r="IN24">
        <v>0</v>
      </c>
      <c r="IO24">
        <v>0</v>
      </c>
      <c r="IP24">
        <v>0</v>
      </c>
      <c r="IQ24" t="s">
        <v>443</v>
      </c>
      <c r="IR24" t="s">
        <v>444</v>
      </c>
      <c r="IS24" t="s">
        <v>445</v>
      </c>
      <c r="IT24" t="s">
        <v>445</v>
      </c>
      <c r="IU24" t="s">
        <v>445</v>
      </c>
      <c r="IV24" t="s">
        <v>445</v>
      </c>
      <c r="IW24">
        <v>0</v>
      </c>
      <c r="IX24">
        <v>100</v>
      </c>
      <c r="IY24">
        <v>100</v>
      </c>
      <c r="IZ24">
        <v>-2.004</v>
      </c>
      <c r="JA24">
        <v>-3.9300000000000002E-2</v>
      </c>
      <c r="JB24">
        <v>-1.140465381763482</v>
      </c>
      <c r="JC24">
        <v>-2.4932477295996069E-3</v>
      </c>
      <c r="JD24">
        <v>1.159696634280317E-6</v>
      </c>
      <c r="JE24">
        <v>-3.5013845820821591E-10</v>
      </c>
      <c r="JF24">
        <v>-8.6309180691159976E-2</v>
      </c>
      <c r="JG24">
        <v>-7.5935071553627593E-3</v>
      </c>
      <c r="JH24">
        <v>1.367325239740887E-3</v>
      </c>
      <c r="JI24">
        <v>-2.2944115828177239E-5</v>
      </c>
      <c r="JJ24">
        <v>2</v>
      </c>
      <c r="JK24">
        <v>2118</v>
      </c>
      <c r="JL24">
        <v>1</v>
      </c>
      <c r="JM24">
        <v>27</v>
      </c>
      <c r="JN24">
        <v>-799483.8</v>
      </c>
      <c r="JO24">
        <v>-799483.8</v>
      </c>
      <c r="JP24">
        <v>1.2561</v>
      </c>
      <c r="JQ24">
        <v>2.4304199999999998</v>
      </c>
      <c r="JR24">
        <v>2.19604</v>
      </c>
      <c r="JS24">
        <v>2.7172900000000002</v>
      </c>
      <c r="JT24">
        <v>2.1496599999999999</v>
      </c>
      <c r="JU24">
        <v>2.4084500000000002</v>
      </c>
      <c r="JV24">
        <v>22.364599999999999</v>
      </c>
      <c r="JW24">
        <v>15.1302</v>
      </c>
      <c r="JX24">
        <v>18</v>
      </c>
      <c r="JY24">
        <v>569.90800000000002</v>
      </c>
      <c r="JZ24">
        <v>817.98400000000004</v>
      </c>
      <c r="KA24">
        <v>16.585999999999999</v>
      </c>
      <c r="KB24">
        <v>16.6663</v>
      </c>
      <c r="KC24">
        <v>30.000699999999998</v>
      </c>
      <c r="KD24">
        <v>16.664300000000001</v>
      </c>
      <c r="KE24">
        <v>16.632300000000001</v>
      </c>
      <c r="KF24">
        <v>25.198799999999999</v>
      </c>
      <c r="KG24">
        <v>13.5631</v>
      </c>
      <c r="KH24">
        <v>41.640799999999999</v>
      </c>
      <c r="KI24">
        <v>-999.9</v>
      </c>
      <c r="KJ24">
        <v>400</v>
      </c>
      <c r="KK24">
        <v>10.445600000000001</v>
      </c>
      <c r="KL24">
        <v>102.874</v>
      </c>
      <c r="KM24">
        <v>102.90300000000001</v>
      </c>
    </row>
    <row r="25" spans="1:299" x14ac:dyDescent="0.2">
      <c r="A25">
        <v>9</v>
      </c>
      <c r="B25" t="s">
        <v>538</v>
      </c>
      <c r="C25">
        <v>9</v>
      </c>
      <c r="D25">
        <v>1707838902.5999999</v>
      </c>
      <c r="E25">
        <v>1975.599999904633</v>
      </c>
      <c r="F25" t="s">
        <v>461</v>
      </c>
      <c r="G25" t="s">
        <v>462</v>
      </c>
      <c r="H25" t="s">
        <v>436</v>
      </c>
      <c r="I25" t="s">
        <v>437</v>
      </c>
      <c r="J25" t="s">
        <v>438</v>
      </c>
      <c r="M25" t="s">
        <v>438</v>
      </c>
      <c r="O25">
        <v>1707838902.5999999</v>
      </c>
      <c r="P25">
        <f t="shared" si="0"/>
        <v>6.4827613710509869E-4</v>
      </c>
      <c r="Q25">
        <f t="shared" si="1"/>
        <v>0.64827613710509868</v>
      </c>
      <c r="R25">
        <f t="shared" si="2"/>
        <v>-67.731970575611228</v>
      </c>
      <c r="S25">
        <f t="shared" si="3"/>
        <v>478.67200000000003</v>
      </c>
      <c r="T25">
        <f t="shared" si="4"/>
        <v>1914.6411422507381</v>
      </c>
      <c r="U25">
        <f t="shared" si="5"/>
        <v>195.39819496688872</v>
      </c>
      <c r="V25">
        <f t="shared" si="6"/>
        <v>48.850744255521604</v>
      </c>
      <c r="W25">
        <f t="shared" si="7"/>
        <v>7.5507508688451977E-2</v>
      </c>
      <c r="X25">
        <f t="shared" si="8"/>
        <v>2.9650510674557</v>
      </c>
      <c r="Y25">
        <f t="shared" si="9"/>
        <v>7.4455317008233296E-2</v>
      </c>
      <c r="Z25">
        <f t="shared" si="10"/>
        <v>4.6627886843928615E-2</v>
      </c>
      <c r="AA25">
        <f t="shared" si="11"/>
        <v>190.39958451389029</v>
      </c>
      <c r="AB25">
        <f t="shared" si="12"/>
        <v>18.623797573005604</v>
      </c>
      <c r="AC25">
        <f t="shared" si="13"/>
        <v>17.324100000000001</v>
      </c>
      <c r="AD25">
        <f t="shared" si="14"/>
        <v>1.9848630493817327</v>
      </c>
      <c r="AE25">
        <f t="shared" si="15"/>
        <v>54.687971798725464</v>
      </c>
      <c r="AF25">
        <f t="shared" si="16"/>
        <v>1.1097533971257301</v>
      </c>
      <c r="AG25">
        <f t="shared" si="17"/>
        <v>2.0292458480817048</v>
      </c>
      <c r="AH25">
        <f t="shared" si="18"/>
        <v>0.87510965225600268</v>
      </c>
      <c r="AI25">
        <f t="shared" si="19"/>
        <v>-28.588977646334854</v>
      </c>
      <c r="AJ25">
        <f t="shared" si="20"/>
        <v>55.996097151979249</v>
      </c>
      <c r="AK25">
        <f t="shared" si="21"/>
        <v>3.7005987075883362</v>
      </c>
      <c r="AL25">
        <f t="shared" si="22"/>
        <v>221.50730272712303</v>
      </c>
      <c r="AM25">
        <f t="shared" si="23"/>
        <v>-90.700657413939098</v>
      </c>
      <c r="AN25">
        <f t="shared" si="24"/>
        <v>0.6133365622785405</v>
      </c>
      <c r="AO25">
        <f t="shared" si="25"/>
        <v>-67.731970575611228</v>
      </c>
      <c r="AP25">
        <v>404.17634581586339</v>
      </c>
      <c r="AQ25">
        <v>490.15319999999991</v>
      </c>
      <c r="AR25">
        <v>-6.4503637592741683</v>
      </c>
      <c r="AS25">
        <v>66.960499997724199</v>
      </c>
      <c r="AT25">
        <f t="shared" si="26"/>
        <v>0.64827613710509868</v>
      </c>
      <c r="AU25">
        <v>10.329131529180421</v>
      </c>
      <c r="AV25">
        <v>10.919638181818179</v>
      </c>
      <c r="AW25">
        <v>-6.7840515583650618E-3</v>
      </c>
      <c r="AX25">
        <v>78.454360027629917</v>
      </c>
      <c r="AY25">
        <v>73</v>
      </c>
      <c r="AZ25">
        <v>11</v>
      </c>
      <c r="BA25">
        <f t="shared" si="27"/>
        <v>1</v>
      </c>
      <c r="BB25">
        <f t="shared" si="28"/>
        <v>0</v>
      </c>
      <c r="BC25">
        <f t="shared" si="29"/>
        <v>55684.738582328711</v>
      </c>
      <c r="BD25" t="s">
        <v>439</v>
      </c>
      <c r="BE25" t="s">
        <v>439</v>
      </c>
      <c r="BF25">
        <v>0</v>
      </c>
      <c r="BG25">
        <v>0</v>
      </c>
      <c r="BH25" t="e">
        <f t="shared" si="30"/>
        <v>#DIV/0!</v>
      </c>
      <c r="BI25">
        <v>0</v>
      </c>
      <c r="BJ25" t="s">
        <v>439</v>
      </c>
      <c r="BK25" t="s">
        <v>439</v>
      </c>
      <c r="BL25">
        <v>0</v>
      </c>
      <c r="BM25">
        <v>0</v>
      </c>
      <c r="BN25" t="e">
        <f t="shared" si="31"/>
        <v>#DIV/0!</v>
      </c>
      <c r="BO25">
        <v>0.5</v>
      </c>
      <c r="BP25">
        <f t="shared" si="32"/>
        <v>839.42573725694501</v>
      </c>
      <c r="BQ25">
        <f t="shared" si="33"/>
        <v>-67.731970575611228</v>
      </c>
      <c r="BR25" t="e">
        <f t="shared" si="34"/>
        <v>#DIV/0!</v>
      </c>
      <c r="BS25">
        <f t="shared" si="35"/>
        <v>-8.0688460657573013E-2</v>
      </c>
      <c r="BT25" t="e">
        <f t="shared" si="36"/>
        <v>#DIV/0!</v>
      </c>
      <c r="BU25" t="e">
        <f t="shared" si="37"/>
        <v>#DIV/0!</v>
      </c>
      <c r="BV25" t="s">
        <v>439</v>
      </c>
      <c r="BW25">
        <v>0</v>
      </c>
      <c r="BX25" t="e">
        <f t="shared" si="38"/>
        <v>#DIV/0!</v>
      </c>
      <c r="BY25" t="e">
        <f t="shared" si="39"/>
        <v>#DIV/0!</v>
      </c>
      <c r="BZ25" t="e">
        <f t="shared" si="40"/>
        <v>#DIV/0!</v>
      </c>
      <c r="CA25" t="e">
        <f t="shared" si="41"/>
        <v>#DIV/0!</v>
      </c>
      <c r="CB25" t="e">
        <f t="shared" si="42"/>
        <v>#DIV/0!</v>
      </c>
      <c r="CC25" t="e">
        <f t="shared" si="43"/>
        <v>#DIV/0!</v>
      </c>
      <c r="CD25" t="e">
        <f t="shared" si="44"/>
        <v>#DIV/0!</v>
      </c>
      <c r="CE25" t="e">
        <f t="shared" si="45"/>
        <v>#DIV/0!</v>
      </c>
      <c r="DN25">
        <f t="shared" si="46"/>
        <v>998.96100000000001</v>
      </c>
      <c r="DO25">
        <f t="shared" si="47"/>
        <v>839.42573725694501</v>
      </c>
      <c r="DP25">
        <f t="shared" si="48"/>
        <v>0.84029880771816423</v>
      </c>
      <c r="DQ25">
        <f t="shared" si="49"/>
        <v>0.19059761543632864</v>
      </c>
      <c r="DR25">
        <v>6</v>
      </c>
      <c r="DS25">
        <v>0.5</v>
      </c>
      <c r="DT25" t="s">
        <v>440</v>
      </c>
      <c r="DU25">
        <v>2</v>
      </c>
      <c r="DV25" t="b">
        <v>1</v>
      </c>
      <c r="DW25">
        <v>1707838902.5999999</v>
      </c>
      <c r="DX25">
        <v>478.67200000000003</v>
      </c>
      <c r="DY25">
        <v>400.00299999999999</v>
      </c>
      <c r="DZ25">
        <v>10.8741</v>
      </c>
      <c r="EA25">
        <v>10.3462</v>
      </c>
      <c r="EB25">
        <v>480.78199999999998</v>
      </c>
      <c r="EC25">
        <v>10.910299999999999</v>
      </c>
      <c r="ED25">
        <v>689.52499999999998</v>
      </c>
      <c r="EE25">
        <v>101.992</v>
      </c>
      <c r="EF25">
        <v>6.2735299999999994E-2</v>
      </c>
      <c r="EG25">
        <v>17.674399999999999</v>
      </c>
      <c r="EH25">
        <v>17.324100000000001</v>
      </c>
      <c r="EI25">
        <v>999.9</v>
      </c>
      <c r="EJ25">
        <v>0</v>
      </c>
      <c r="EK25">
        <v>0</v>
      </c>
      <c r="EL25">
        <v>10004.5</v>
      </c>
      <c r="EM25">
        <v>0</v>
      </c>
      <c r="EN25">
        <v>1.68183E-3</v>
      </c>
      <c r="EO25">
        <v>78.6691</v>
      </c>
      <c r="EP25">
        <v>483.93400000000003</v>
      </c>
      <c r="EQ25">
        <v>404.185</v>
      </c>
      <c r="ER25">
        <v>0.52793000000000001</v>
      </c>
      <c r="ES25">
        <v>400.00299999999999</v>
      </c>
      <c r="ET25">
        <v>10.3462</v>
      </c>
      <c r="EU25">
        <v>1.10907</v>
      </c>
      <c r="EV25">
        <v>1.0552299999999999</v>
      </c>
      <c r="EW25">
        <v>8.4339300000000001</v>
      </c>
      <c r="EX25">
        <v>7.70207</v>
      </c>
      <c r="EY25">
        <v>998.96100000000001</v>
      </c>
      <c r="EZ25">
        <v>0.98999400000000004</v>
      </c>
      <c r="FA25">
        <v>1.00064E-2</v>
      </c>
      <c r="FB25">
        <v>0</v>
      </c>
      <c r="FC25">
        <v>1336.33</v>
      </c>
      <c r="FD25">
        <v>5.0001800000000003</v>
      </c>
      <c r="FE25">
        <v>19659.099999999999</v>
      </c>
      <c r="FF25">
        <v>8549.7900000000009</v>
      </c>
      <c r="FG25">
        <v>34.625</v>
      </c>
      <c r="FH25">
        <v>37.436999999999998</v>
      </c>
      <c r="FI25">
        <v>36.061999999999998</v>
      </c>
      <c r="FJ25">
        <v>40</v>
      </c>
      <c r="FK25">
        <v>36.436999999999998</v>
      </c>
      <c r="FL25">
        <v>984.02</v>
      </c>
      <c r="FM25">
        <v>9.9499999999999993</v>
      </c>
      <c r="FN25">
        <v>0</v>
      </c>
      <c r="FO25">
        <v>1685733312.0999999</v>
      </c>
      <c r="FP25">
        <v>0</v>
      </c>
      <c r="FQ25">
        <v>514.29122692307692</v>
      </c>
      <c r="FR25">
        <v>7293.7879388512974</v>
      </c>
      <c r="FS25">
        <v>326014.14001116349</v>
      </c>
      <c r="FT25">
        <v>150830.09761538461</v>
      </c>
      <c r="FU25">
        <v>15</v>
      </c>
      <c r="FV25">
        <v>0</v>
      </c>
      <c r="FW25" t="s">
        <v>441</v>
      </c>
      <c r="FX25">
        <v>1755807717.5</v>
      </c>
      <c r="FY25">
        <v>1755807720.5</v>
      </c>
      <c r="FZ25">
        <v>0</v>
      </c>
      <c r="GA25">
        <v>-0.11700000000000001</v>
      </c>
      <c r="GB25">
        <v>-1.6E-2</v>
      </c>
      <c r="GC25">
        <v>-2.0089999999999999</v>
      </c>
      <c r="GD25">
        <v>0.03</v>
      </c>
      <c r="GE25">
        <v>420</v>
      </c>
      <c r="GF25">
        <v>15</v>
      </c>
      <c r="GG25">
        <v>0.09</v>
      </c>
      <c r="GH25">
        <v>0.01</v>
      </c>
      <c r="GI25">
        <v>-52.098763561161512</v>
      </c>
      <c r="GJ25">
        <v>-622.49190712628467</v>
      </c>
      <c r="GK25">
        <v>75.789564737720383</v>
      </c>
      <c r="GL25">
        <v>0</v>
      </c>
      <c r="GM25">
        <v>4.6508753158441017E-2</v>
      </c>
      <c r="GN25">
        <v>0.79997499019282714</v>
      </c>
      <c r="GO25">
        <v>9.9095808357976919E-2</v>
      </c>
      <c r="GP25">
        <v>0</v>
      </c>
      <c r="GQ25">
        <v>0</v>
      </c>
      <c r="GR25">
        <v>2</v>
      </c>
      <c r="GS25" t="s">
        <v>442</v>
      </c>
      <c r="GT25">
        <v>3.3535400000000002</v>
      </c>
      <c r="GU25">
        <v>2.7568800000000002</v>
      </c>
      <c r="GV25">
        <v>0.11354300000000001</v>
      </c>
      <c r="GW25">
        <v>9.8775699999999994E-2</v>
      </c>
      <c r="GX25">
        <v>6.7058300000000001E-2</v>
      </c>
      <c r="GY25">
        <v>6.3857999999999998E-2</v>
      </c>
      <c r="GZ25">
        <v>21207.1</v>
      </c>
      <c r="HA25">
        <v>22212.1</v>
      </c>
      <c r="HB25">
        <v>25361.7</v>
      </c>
      <c r="HC25">
        <v>26039.8</v>
      </c>
      <c r="HD25">
        <v>36013.699999999997</v>
      </c>
      <c r="HE25">
        <v>36368.699999999997</v>
      </c>
      <c r="HF25">
        <v>42459.4</v>
      </c>
      <c r="HG25">
        <v>42052.3</v>
      </c>
      <c r="HH25">
        <v>2.3532000000000002</v>
      </c>
      <c r="HI25">
        <v>2.5968599999999999</v>
      </c>
      <c r="HJ25">
        <v>4.0507300000000003E-2</v>
      </c>
      <c r="HK25">
        <v>0</v>
      </c>
      <c r="HL25">
        <v>16.650700000000001</v>
      </c>
      <c r="HM25">
        <v>999.9</v>
      </c>
      <c r="HN25">
        <v>60.4</v>
      </c>
      <c r="HO25">
        <v>18.100000000000001</v>
      </c>
      <c r="HP25">
        <v>12.3437</v>
      </c>
      <c r="HQ25">
        <v>60.284599999999998</v>
      </c>
      <c r="HR25">
        <v>7.5080099999999996</v>
      </c>
      <c r="HS25">
        <v>2</v>
      </c>
      <c r="HT25">
        <v>-0.77881100000000003</v>
      </c>
      <c r="HU25">
        <v>0</v>
      </c>
      <c r="HV25">
        <v>20.371300000000002</v>
      </c>
      <c r="HW25">
        <v>5.2027900000000002</v>
      </c>
      <c r="HX25">
        <v>11.9024</v>
      </c>
      <c r="HY25">
        <v>4.9925199999999998</v>
      </c>
      <c r="HZ25">
        <v>3.2805800000000001</v>
      </c>
      <c r="IA25">
        <v>9999</v>
      </c>
      <c r="IB25">
        <v>9999</v>
      </c>
      <c r="IC25">
        <v>9999</v>
      </c>
      <c r="ID25">
        <v>149</v>
      </c>
      <c r="IE25">
        <v>4.9718400000000003</v>
      </c>
      <c r="IF25">
        <v>1.85745</v>
      </c>
      <c r="IG25">
        <v>1.8668400000000001</v>
      </c>
      <c r="IH25">
        <v>1.86188</v>
      </c>
      <c r="II25">
        <v>1.86432</v>
      </c>
      <c r="IJ25">
        <v>1.8603499999999999</v>
      </c>
      <c r="IK25">
        <v>1.86286</v>
      </c>
      <c r="IL25">
        <v>1.8603099999999999</v>
      </c>
      <c r="IM25">
        <v>0</v>
      </c>
      <c r="IN25">
        <v>0</v>
      </c>
      <c r="IO25">
        <v>0</v>
      </c>
      <c r="IP25">
        <v>0</v>
      </c>
      <c r="IQ25" t="s">
        <v>443</v>
      </c>
      <c r="IR25" t="s">
        <v>444</v>
      </c>
      <c r="IS25" t="s">
        <v>445</v>
      </c>
      <c r="IT25" t="s">
        <v>445</v>
      </c>
      <c r="IU25" t="s">
        <v>445</v>
      </c>
      <c r="IV25" t="s">
        <v>445</v>
      </c>
      <c r="IW25">
        <v>0</v>
      </c>
      <c r="IX25">
        <v>100</v>
      </c>
      <c r="IY25">
        <v>100</v>
      </c>
      <c r="IZ25">
        <v>-2.11</v>
      </c>
      <c r="JA25">
        <v>-3.6200000000000003E-2</v>
      </c>
      <c r="JB25">
        <v>-1.140465381763482</v>
      </c>
      <c r="JC25">
        <v>-2.4932477295996069E-3</v>
      </c>
      <c r="JD25">
        <v>1.159696634280317E-6</v>
      </c>
      <c r="JE25">
        <v>-3.5013845820821591E-10</v>
      </c>
      <c r="JF25">
        <v>-8.6309180691159976E-2</v>
      </c>
      <c r="JG25">
        <v>-7.5935071553627593E-3</v>
      </c>
      <c r="JH25">
        <v>1.367325239740887E-3</v>
      </c>
      <c r="JI25">
        <v>-2.2944115828177239E-5</v>
      </c>
      <c r="JJ25">
        <v>2</v>
      </c>
      <c r="JK25">
        <v>2118</v>
      </c>
      <c r="JL25">
        <v>1</v>
      </c>
      <c r="JM25">
        <v>27</v>
      </c>
      <c r="JN25">
        <v>-799480.2</v>
      </c>
      <c r="JO25">
        <v>-799480.3</v>
      </c>
      <c r="JP25">
        <v>1.25488</v>
      </c>
      <c r="JQ25">
        <v>2.4389599999999998</v>
      </c>
      <c r="JR25">
        <v>2.19604</v>
      </c>
      <c r="JS25">
        <v>2.7172900000000002</v>
      </c>
      <c r="JT25">
        <v>2.1496599999999999</v>
      </c>
      <c r="JU25">
        <v>2.3864700000000001</v>
      </c>
      <c r="JV25">
        <v>22.8889</v>
      </c>
      <c r="JW25">
        <v>15.0426</v>
      </c>
      <c r="JX25">
        <v>18</v>
      </c>
      <c r="JY25">
        <v>590.11300000000006</v>
      </c>
      <c r="JZ25">
        <v>825.92399999999998</v>
      </c>
      <c r="KA25">
        <v>16.928000000000001</v>
      </c>
      <c r="KB25">
        <v>16.921700000000001</v>
      </c>
      <c r="KC25">
        <v>30.001000000000001</v>
      </c>
      <c r="KD25">
        <v>16.959800000000001</v>
      </c>
      <c r="KE25">
        <v>16.8569</v>
      </c>
      <c r="KF25">
        <v>25.1892</v>
      </c>
      <c r="KG25">
        <v>28.924199999999999</v>
      </c>
      <c r="KH25">
        <v>52.0535</v>
      </c>
      <c r="KI25">
        <v>-999.9</v>
      </c>
      <c r="KJ25">
        <v>400</v>
      </c>
      <c r="KK25">
        <v>10.2661</v>
      </c>
      <c r="KL25">
        <v>102.874</v>
      </c>
      <c r="KM25">
        <v>102.90900000000001</v>
      </c>
    </row>
    <row r="26" spans="1:299" x14ac:dyDescent="0.2">
      <c r="A26">
        <v>10</v>
      </c>
      <c r="B26" t="s">
        <v>538</v>
      </c>
      <c r="C26">
        <v>10</v>
      </c>
      <c r="D26">
        <v>1707839146.0999999</v>
      </c>
      <c r="E26">
        <v>2219.099999904633</v>
      </c>
      <c r="F26" t="s">
        <v>463</v>
      </c>
      <c r="G26" t="s">
        <v>464</v>
      </c>
      <c r="H26" t="s">
        <v>436</v>
      </c>
      <c r="I26" t="s">
        <v>437</v>
      </c>
      <c r="J26" t="s">
        <v>438</v>
      </c>
      <c r="M26" t="s">
        <v>438</v>
      </c>
      <c r="O26">
        <v>1707839146.0999999</v>
      </c>
      <c r="P26">
        <f t="shared" si="0"/>
        <v>6.6715102263809338E-4</v>
      </c>
      <c r="Q26">
        <f t="shared" si="1"/>
        <v>0.66715102263809334</v>
      </c>
      <c r="R26">
        <f t="shared" si="2"/>
        <v>-5.667876289749211</v>
      </c>
      <c r="S26">
        <f t="shared" si="3"/>
        <v>436.98700000000002</v>
      </c>
      <c r="T26">
        <f t="shared" si="4"/>
        <v>570.16864266982714</v>
      </c>
      <c r="U26">
        <f t="shared" si="5"/>
        <v>58.187984387171468</v>
      </c>
      <c r="V26">
        <f t="shared" si="6"/>
        <v>44.596266491143005</v>
      </c>
      <c r="W26">
        <f t="shared" si="7"/>
        <v>6.4721199304067001E-2</v>
      </c>
      <c r="X26">
        <f t="shared" si="8"/>
        <v>2.9615526183246734</v>
      </c>
      <c r="Y26">
        <f t="shared" si="9"/>
        <v>6.3945582551080515E-2</v>
      </c>
      <c r="Z26">
        <f t="shared" si="10"/>
        <v>4.0034900639318569E-2</v>
      </c>
      <c r="AA26">
        <f t="shared" si="11"/>
        <v>190.53521869943202</v>
      </c>
      <c r="AB26">
        <f t="shared" si="12"/>
        <v>20.046387199398659</v>
      </c>
      <c r="AC26">
        <f t="shared" si="13"/>
        <v>18.938700000000001</v>
      </c>
      <c r="AD26">
        <f t="shared" si="14"/>
        <v>2.1967591485949587</v>
      </c>
      <c r="AE26">
        <f t="shared" si="15"/>
        <v>51.799062933095911</v>
      </c>
      <c r="AF26">
        <f t="shared" si="16"/>
        <v>1.1494748997026001</v>
      </c>
      <c r="AG26">
        <f t="shared" si="17"/>
        <v>2.2191036567346232</v>
      </c>
      <c r="AH26">
        <f t="shared" si="18"/>
        <v>1.0472842488923586</v>
      </c>
      <c r="AI26">
        <f t="shared" si="19"/>
        <v>-29.421360098339917</v>
      </c>
      <c r="AJ26">
        <f t="shared" si="20"/>
        <v>25.897375055929004</v>
      </c>
      <c r="AK26">
        <f t="shared" si="21"/>
        <v>1.7405416980137141</v>
      </c>
      <c r="AL26">
        <f t="shared" si="22"/>
        <v>188.75177535503479</v>
      </c>
      <c r="AM26">
        <f t="shared" si="23"/>
        <v>-43.331613491316965</v>
      </c>
      <c r="AN26">
        <f t="shared" si="24"/>
        <v>0.64949972115930654</v>
      </c>
      <c r="AO26">
        <f t="shared" si="25"/>
        <v>-5.667876289749211</v>
      </c>
      <c r="AP26">
        <v>404.38482620588422</v>
      </c>
      <c r="AQ26">
        <v>445.53896363636341</v>
      </c>
      <c r="AR26">
        <v>-9.0192444998816494</v>
      </c>
      <c r="AS26">
        <v>66.958687621814761</v>
      </c>
      <c r="AT26">
        <f t="shared" si="26"/>
        <v>0.66715102263809334</v>
      </c>
      <c r="AU26">
        <v>10.70282545676532</v>
      </c>
      <c r="AV26">
        <v>11.293684848484849</v>
      </c>
      <c r="AW26">
        <v>-5.3330864949318567E-3</v>
      </c>
      <c r="AX26">
        <v>78.454197192072542</v>
      </c>
      <c r="AY26">
        <v>271</v>
      </c>
      <c r="AZ26">
        <v>39</v>
      </c>
      <c r="BA26">
        <f t="shared" si="27"/>
        <v>1</v>
      </c>
      <c r="BB26">
        <f t="shared" si="28"/>
        <v>0</v>
      </c>
      <c r="BC26">
        <f t="shared" si="29"/>
        <v>55307.66847792211</v>
      </c>
      <c r="BD26" t="s">
        <v>439</v>
      </c>
      <c r="BE26" t="s">
        <v>439</v>
      </c>
      <c r="BF26">
        <v>0</v>
      </c>
      <c r="BG26">
        <v>0</v>
      </c>
      <c r="BH26" t="e">
        <f t="shared" si="30"/>
        <v>#DIV/0!</v>
      </c>
      <c r="BI26">
        <v>0</v>
      </c>
      <c r="BJ26" t="s">
        <v>439</v>
      </c>
      <c r="BK26" t="s">
        <v>439</v>
      </c>
      <c r="BL26">
        <v>0</v>
      </c>
      <c r="BM26">
        <v>0</v>
      </c>
      <c r="BN26" t="e">
        <f t="shared" si="31"/>
        <v>#DIV/0!</v>
      </c>
      <c r="BO26">
        <v>0.5</v>
      </c>
      <c r="BP26">
        <f t="shared" si="32"/>
        <v>840.02771934971588</v>
      </c>
      <c r="BQ26">
        <f t="shared" si="33"/>
        <v>-5.667876289749211</v>
      </c>
      <c r="BR26" t="e">
        <f t="shared" si="34"/>
        <v>#DIV/0!</v>
      </c>
      <c r="BS26">
        <f t="shared" si="35"/>
        <v>-6.7472491195133891E-3</v>
      </c>
      <c r="BT26" t="e">
        <f t="shared" si="36"/>
        <v>#DIV/0!</v>
      </c>
      <c r="BU26" t="e">
        <f t="shared" si="37"/>
        <v>#DIV/0!</v>
      </c>
      <c r="BV26" t="s">
        <v>439</v>
      </c>
      <c r="BW26">
        <v>0</v>
      </c>
      <c r="BX26" t="e">
        <f t="shared" si="38"/>
        <v>#DIV/0!</v>
      </c>
      <c r="BY26" t="e">
        <f t="shared" si="39"/>
        <v>#DIV/0!</v>
      </c>
      <c r="BZ26" t="e">
        <f t="shared" si="40"/>
        <v>#DIV/0!</v>
      </c>
      <c r="CA26" t="e">
        <f t="shared" si="41"/>
        <v>#DIV/0!</v>
      </c>
      <c r="CB26" t="e">
        <f t="shared" si="42"/>
        <v>#DIV/0!</v>
      </c>
      <c r="CC26" t="e">
        <f t="shared" si="43"/>
        <v>#DIV/0!</v>
      </c>
      <c r="CD26" t="e">
        <f t="shared" si="44"/>
        <v>#DIV/0!</v>
      </c>
      <c r="CE26" t="e">
        <f t="shared" si="45"/>
        <v>#DIV/0!</v>
      </c>
      <c r="DN26">
        <f t="shared" si="46"/>
        <v>999.678</v>
      </c>
      <c r="DO26">
        <f t="shared" si="47"/>
        <v>840.02771934971588</v>
      </c>
      <c r="DP26">
        <f t="shared" si="48"/>
        <v>0.840298295400835</v>
      </c>
      <c r="DQ26">
        <f t="shared" si="49"/>
        <v>0.19059659080167016</v>
      </c>
      <c r="DR26">
        <v>6</v>
      </c>
      <c r="DS26">
        <v>0.5</v>
      </c>
      <c r="DT26" t="s">
        <v>440</v>
      </c>
      <c r="DU26">
        <v>2</v>
      </c>
      <c r="DV26" t="b">
        <v>1</v>
      </c>
      <c r="DW26">
        <v>1707839146.0999999</v>
      </c>
      <c r="DX26">
        <v>436.98700000000002</v>
      </c>
      <c r="DY26">
        <v>400.065</v>
      </c>
      <c r="DZ26">
        <v>11.263400000000001</v>
      </c>
      <c r="EA26">
        <v>10.7126</v>
      </c>
      <c r="EB26">
        <v>439.02800000000002</v>
      </c>
      <c r="EC26">
        <v>11.2941</v>
      </c>
      <c r="ED26">
        <v>699.54700000000003</v>
      </c>
      <c r="EE26">
        <v>101.999</v>
      </c>
      <c r="EF26">
        <v>5.4989000000000003E-2</v>
      </c>
      <c r="EG26">
        <v>19.100899999999999</v>
      </c>
      <c r="EH26">
        <v>18.938700000000001</v>
      </c>
      <c r="EI26">
        <v>999.9</v>
      </c>
      <c r="EJ26">
        <v>0</v>
      </c>
      <c r="EK26">
        <v>0</v>
      </c>
      <c r="EL26">
        <v>9984</v>
      </c>
      <c r="EM26">
        <v>0</v>
      </c>
      <c r="EN26">
        <v>1.91117E-3</v>
      </c>
      <c r="EO26">
        <v>36.9221</v>
      </c>
      <c r="EP26">
        <v>441.96499999999997</v>
      </c>
      <c r="EQ26">
        <v>404.39699999999999</v>
      </c>
      <c r="ER26">
        <v>0.55077100000000001</v>
      </c>
      <c r="ES26">
        <v>400.065</v>
      </c>
      <c r="ET26">
        <v>10.7126</v>
      </c>
      <c r="EU26">
        <v>1.14886</v>
      </c>
      <c r="EV26">
        <v>1.0926800000000001</v>
      </c>
      <c r="EW26">
        <v>8.95486</v>
      </c>
      <c r="EX26">
        <v>8.2145399999999995</v>
      </c>
      <c r="EY26">
        <v>999.678</v>
      </c>
      <c r="EZ26">
        <v>0.99000500000000002</v>
      </c>
      <c r="FA26">
        <v>9.9945599999999996E-3</v>
      </c>
      <c r="FB26">
        <v>0</v>
      </c>
      <c r="FC26">
        <v>1135.1199999999999</v>
      </c>
      <c r="FD26">
        <v>5.0001800000000003</v>
      </c>
      <c r="FE26">
        <v>20305.8</v>
      </c>
      <c r="FF26">
        <v>8555.99</v>
      </c>
      <c r="FG26">
        <v>36.936999999999998</v>
      </c>
      <c r="FH26">
        <v>38.686999999999998</v>
      </c>
      <c r="FI26">
        <v>38.061999999999998</v>
      </c>
      <c r="FJ26">
        <v>41.375</v>
      </c>
      <c r="FK26">
        <v>38.436999999999998</v>
      </c>
      <c r="FL26">
        <v>984.74</v>
      </c>
      <c r="FM26">
        <v>9.94</v>
      </c>
      <c r="FN26">
        <v>0</v>
      </c>
      <c r="FO26">
        <v>1685733555.7</v>
      </c>
      <c r="FP26">
        <v>0</v>
      </c>
      <c r="FQ26">
        <v>623.86075769230763</v>
      </c>
      <c r="FR26">
        <v>6643.4687878209234</v>
      </c>
      <c r="FS26">
        <v>-2428450.5621743761</v>
      </c>
      <c r="FT26">
        <v>270883.62307692308</v>
      </c>
      <c r="FU26">
        <v>15</v>
      </c>
      <c r="FV26">
        <v>0</v>
      </c>
      <c r="FW26" t="s">
        <v>441</v>
      </c>
      <c r="FX26">
        <v>1755807717.5</v>
      </c>
      <c r="FY26">
        <v>1755807720.5</v>
      </c>
      <c r="FZ26">
        <v>0</v>
      </c>
      <c r="GA26">
        <v>-0.11700000000000001</v>
      </c>
      <c r="GB26">
        <v>-1.6E-2</v>
      </c>
      <c r="GC26">
        <v>-2.0089999999999999</v>
      </c>
      <c r="GD26">
        <v>0.03</v>
      </c>
      <c r="GE26">
        <v>420</v>
      </c>
      <c r="GF26">
        <v>15</v>
      </c>
      <c r="GG26">
        <v>0.09</v>
      </c>
      <c r="GH26">
        <v>0.01</v>
      </c>
      <c r="GI26">
        <v>-72.147144520481703</v>
      </c>
      <c r="GJ26">
        <v>-262.42539930647052</v>
      </c>
      <c r="GK26">
        <v>112.48851476463371</v>
      </c>
      <c r="GL26">
        <v>0</v>
      </c>
      <c r="GM26">
        <v>7.3182014147720575E-2</v>
      </c>
      <c r="GN26">
        <v>6.888996754365119E-2</v>
      </c>
      <c r="GO26">
        <v>3.01284233129928E-2</v>
      </c>
      <c r="GP26">
        <v>0</v>
      </c>
      <c r="GQ26">
        <v>0</v>
      </c>
      <c r="GR26">
        <v>2</v>
      </c>
      <c r="GS26" t="s">
        <v>442</v>
      </c>
      <c r="GT26">
        <v>3.3649200000000001</v>
      </c>
      <c r="GU26">
        <v>2.74905</v>
      </c>
      <c r="GV26">
        <v>0.10610899999999999</v>
      </c>
      <c r="GW26">
        <v>9.86953E-2</v>
      </c>
      <c r="GX26">
        <v>6.8794499999999995E-2</v>
      </c>
      <c r="GY26">
        <v>6.5517000000000006E-2</v>
      </c>
      <c r="GZ26">
        <v>21367.599999999999</v>
      </c>
      <c r="HA26">
        <v>22192.7</v>
      </c>
      <c r="HB26">
        <v>25344.3</v>
      </c>
      <c r="HC26">
        <v>26017</v>
      </c>
      <c r="HD26">
        <v>35919.300000000003</v>
      </c>
      <c r="HE26">
        <v>36276.1</v>
      </c>
      <c r="HF26">
        <v>42427.4</v>
      </c>
      <c r="HG26">
        <v>42019.9</v>
      </c>
      <c r="HH26">
        <v>2.0004400000000002</v>
      </c>
      <c r="HI26">
        <v>2.56968</v>
      </c>
      <c r="HJ26">
        <v>8.9296700000000007E-2</v>
      </c>
      <c r="HK26">
        <v>0</v>
      </c>
      <c r="HL26">
        <v>17.457000000000001</v>
      </c>
      <c r="HM26">
        <v>999.9</v>
      </c>
      <c r="HN26">
        <v>65.599999999999994</v>
      </c>
      <c r="HO26">
        <v>18.600000000000001</v>
      </c>
      <c r="HP26">
        <v>13.8324</v>
      </c>
      <c r="HQ26">
        <v>60.634599999999999</v>
      </c>
      <c r="HR26">
        <v>6.5625</v>
      </c>
      <c r="HS26">
        <v>2</v>
      </c>
      <c r="HT26">
        <v>-0.74246500000000004</v>
      </c>
      <c r="HU26">
        <v>0</v>
      </c>
      <c r="HV26">
        <v>20.370799999999999</v>
      </c>
      <c r="HW26">
        <v>5.2036300000000004</v>
      </c>
      <c r="HX26">
        <v>11.906700000000001</v>
      </c>
      <c r="HY26">
        <v>4.9920400000000003</v>
      </c>
      <c r="HZ26">
        <v>3.2805200000000001</v>
      </c>
      <c r="IA26">
        <v>9999</v>
      </c>
      <c r="IB26">
        <v>9999</v>
      </c>
      <c r="IC26">
        <v>9999</v>
      </c>
      <c r="ID26">
        <v>149.1</v>
      </c>
      <c r="IE26">
        <v>4.9718400000000003</v>
      </c>
      <c r="IF26">
        <v>1.85755</v>
      </c>
      <c r="IG26">
        <v>1.8669100000000001</v>
      </c>
      <c r="IH26">
        <v>1.86198</v>
      </c>
      <c r="II26">
        <v>1.86433</v>
      </c>
      <c r="IJ26">
        <v>1.8605</v>
      </c>
      <c r="IK26">
        <v>1.8629500000000001</v>
      </c>
      <c r="IL26">
        <v>1.8603499999999999</v>
      </c>
      <c r="IM26">
        <v>0</v>
      </c>
      <c r="IN26">
        <v>0</v>
      </c>
      <c r="IO26">
        <v>0</v>
      </c>
      <c r="IP26">
        <v>0</v>
      </c>
      <c r="IQ26" t="s">
        <v>443</v>
      </c>
      <c r="IR26" t="s">
        <v>444</v>
      </c>
      <c r="IS26" t="s">
        <v>445</v>
      </c>
      <c r="IT26" t="s">
        <v>445</v>
      </c>
      <c r="IU26" t="s">
        <v>445</v>
      </c>
      <c r="IV26" t="s">
        <v>445</v>
      </c>
      <c r="IW26">
        <v>0</v>
      </c>
      <c r="IX26">
        <v>100</v>
      </c>
      <c r="IY26">
        <v>100</v>
      </c>
      <c r="IZ26">
        <v>-2.0409999999999999</v>
      </c>
      <c r="JA26">
        <v>-3.0700000000000002E-2</v>
      </c>
      <c r="JB26">
        <v>-1.140465381763482</v>
      </c>
      <c r="JC26">
        <v>-2.4932477295996069E-3</v>
      </c>
      <c r="JD26">
        <v>1.159696634280317E-6</v>
      </c>
      <c r="JE26">
        <v>-3.5013845820821591E-10</v>
      </c>
      <c r="JF26">
        <v>-8.6309180691159976E-2</v>
      </c>
      <c r="JG26">
        <v>-7.5935071553627593E-3</v>
      </c>
      <c r="JH26">
        <v>1.367325239740887E-3</v>
      </c>
      <c r="JI26">
        <v>-2.2944115828177239E-5</v>
      </c>
      <c r="JJ26">
        <v>2</v>
      </c>
      <c r="JK26">
        <v>2118</v>
      </c>
      <c r="JL26">
        <v>1</v>
      </c>
      <c r="JM26">
        <v>27</v>
      </c>
      <c r="JN26">
        <v>-799476.2</v>
      </c>
      <c r="JO26">
        <v>-799476.2</v>
      </c>
      <c r="JP26">
        <v>1.25244</v>
      </c>
      <c r="JQ26">
        <v>2.4352999999999998</v>
      </c>
      <c r="JR26">
        <v>2.19604</v>
      </c>
      <c r="JS26">
        <v>2.7185100000000002</v>
      </c>
      <c r="JT26">
        <v>2.1496599999999999</v>
      </c>
      <c r="JU26">
        <v>2.3986800000000001</v>
      </c>
      <c r="JV26">
        <v>23.738600000000002</v>
      </c>
      <c r="JW26">
        <v>14.998900000000001</v>
      </c>
      <c r="JX26">
        <v>18</v>
      </c>
      <c r="JY26">
        <v>384.46899999999999</v>
      </c>
      <c r="JZ26">
        <v>807.58299999999997</v>
      </c>
      <c r="KA26">
        <v>17.565300000000001</v>
      </c>
      <c r="KB26">
        <v>17.386700000000001</v>
      </c>
      <c r="KC26">
        <v>30.0015</v>
      </c>
      <c r="KD26">
        <v>17.355499999999999</v>
      </c>
      <c r="KE26">
        <v>17.255600000000001</v>
      </c>
      <c r="KF26">
        <v>25.148499999999999</v>
      </c>
      <c r="KG26">
        <v>33.586399999999998</v>
      </c>
      <c r="KH26">
        <v>53.556800000000003</v>
      </c>
      <c r="KI26">
        <v>-999.9</v>
      </c>
      <c r="KJ26">
        <v>400</v>
      </c>
      <c r="KK26">
        <v>10.633100000000001</v>
      </c>
      <c r="KL26">
        <v>102.79900000000001</v>
      </c>
      <c r="KM26">
        <v>102.825</v>
      </c>
    </row>
    <row r="27" spans="1:299" x14ac:dyDescent="0.2">
      <c r="A27">
        <v>11</v>
      </c>
      <c r="B27" t="s">
        <v>538</v>
      </c>
      <c r="C27">
        <v>11</v>
      </c>
      <c r="D27">
        <v>1707839344.0999999</v>
      </c>
      <c r="E27">
        <v>2417.099999904633</v>
      </c>
      <c r="F27" t="s">
        <v>465</v>
      </c>
      <c r="G27" t="s">
        <v>466</v>
      </c>
      <c r="H27" t="s">
        <v>436</v>
      </c>
      <c r="I27" t="s">
        <v>437</v>
      </c>
      <c r="J27" t="s">
        <v>438</v>
      </c>
      <c r="M27" t="s">
        <v>438</v>
      </c>
      <c r="O27">
        <v>1707839344.0999999</v>
      </c>
      <c r="P27">
        <f t="shared" si="0"/>
        <v>2.2285606676099423E-4</v>
      </c>
      <c r="Q27">
        <f t="shared" si="1"/>
        <v>0.22285606676099423</v>
      </c>
      <c r="R27">
        <f t="shared" si="2"/>
        <v>3.9162363749396212</v>
      </c>
      <c r="S27">
        <f t="shared" si="3"/>
        <v>409.79</v>
      </c>
      <c r="T27">
        <f t="shared" si="4"/>
        <v>82.06845950673285</v>
      </c>
      <c r="U27">
        <f t="shared" si="5"/>
        <v>8.3772633883421914</v>
      </c>
      <c r="V27">
        <f t="shared" si="6"/>
        <v>41.829940327162006</v>
      </c>
      <c r="W27">
        <f t="shared" si="7"/>
        <v>1.9447953899297106E-2</v>
      </c>
      <c r="X27">
        <f t="shared" si="8"/>
        <v>2.9613010740032428</v>
      </c>
      <c r="Y27">
        <f t="shared" si="9"/>
        <v>1.9377275752429136E-2</v>
      </c>
      <c r="Z27">
        <f t="shared" si="10"/>
        <v>1.2117125989970133E-2</v>
      </c>
      <c r="AA27">
        <f t="shared" si="11"/>
        <v>200.12449989261611</v>
      </c>
      <c r="AB27">
        <f t="shared" si="12"/>
        <v>20.919923940083375</v>
      </c>
      <c r="AC27">
        <f t="shared" si="13"/>
        <v>19.822299999999998</v>
      </c>
      <c r="AD27">
        <f t="shared" si="14"/>
        <v>2.3209147428108161</v>
      </c>
      <c r="AE27">
        <f t="shared" si="15"/>
        <v>50.340247683672224</v>
      </c>
      <c r="AF27">
        <f t="shared" si="16"/>
        <v>1.1670001117262803</v>
      </c>
      <c r="AG27">
        <f t="shared" si="17"/>
        <v>2.3182248110090145</v>
      </c>
      <c r="AH27">
        <f t="shared" si="18"/>
        <v>1.1539146310845358</v>
      </c>
      <c r="AI27">
        <f t="shared" si="19"/>
        <v>-9.8279525441598459</v>
      </c>
      <c r="AJ27">
        <f t="shared" si="20"/>
        <v>-2.985448707480943</v>
      </c>
      <c r="AK27">
        <f t="shared" si="21"/>
        <v>-0.20230615598911733</v>
      </c>
      <c r="AL27">
        <f t="shared" si="22"/>
        <v>187.10879248498622</v>
      </c>
      <c r="AM27">
        <f t="shared" si="23"/>
        <v>-11.430349992170996</v>
      </c>
      <c r="AN27">
        <f t="shared" si="24"/>
        <v>0.13831265323942551</v>
      </c>
      <c r="AO27">
        <f t="shared" si="25"/>
        <v>3.9162363749396212</v>
      </c>
      <c r="AP27">
        <v>404.62020166996427</v>
      </c>
      <c r="AQ27">
        <v>415.96336363636368</v>
      </c>
      <c r="AR27">
        <v>-3.6784215332890748</v>
      </c>
      <c r="AS27">
        <v>66.964844234792309</v>
      </c>
      <c r="AT27">
        <f t="shared" si="26"/>
        <v>0.22285606676099423</v>
      </c>
      <c r="AU27">
        <v>11.302443046096659</v>
      </c>
      <c r="AV27">
        <v>11.427893939393931</v>
      </c>
      <c r="AW27">
        <v>1.3502058894654259E-2</v>
      </c>
      <c r="AX27">
        <v>78.463436789017734</v>
      </c>
      <c r="AY27">
        <v>24</v>
      </c>
      <c r="AZ27">
        <v>3</v>
      </c>
      <c r="BA27">
        <f t="shared" si="27"/>
        <v>1</v>
      </c>
      <c r="BB27">
        <f t="shared" si="28"/>
        <v>0</v>
      </c>
      <c r="BC27">
        <f t="shared" si="29"/>
        <v>55167.627390333982</v>
      </c>
      <c r="BD27" t="s">
        <v>439</v>
      </c>
      <c r="BE27" t="s">
        <v>439</v>
      </c>
      <c r="BF27">
        <v>0</v>
      </c>
      <c r="BG27">
        <v>0</v>
      </c>
      <c r="BH27" t="e">
        <f t="shared" si="30"/>
        <v>#DIV/0!</v>
      </c>
      <c r="BI27">
        <v>0</v>
      </c>
      <c r="BJ27" t="s">
        <v>439</v>
      </c>
      <c r="BK27" t="s">
        <v>439</v>
      </c>
      <c r="BL27">
        <v>0</v>
      </c>
      <c r="BM27">
        <v>0</v>
      </c>
      <c r="BN27" t="e">
        <f t="shared" si="31"/>
        <v>#DIV/0!</v>
      </c>
      <c r="BO27">
        <v>0.5</v>
      </c>
      <c r="BP27">
        <f t="shared" si="32"/>
        <v>882.30479994630798</v>
      </c>
      <c r="BQ27">
        <f t="shared" si="33"/>
        <v>3.9162363749396212</v>
      </c>
      <c r="BR27" t="e">
        <f t="shared" si="34"/>
        <v>#DIV/0!</v>
      </c>
      <c r="BS27">
        <f t="shared" si="35"/>
        <v>4.4386433975854385E-3</v>
      </c>
      <c r="BT27" t="e">
        <f t="shared" si="36"/>
        <v>#DIV/0!</v>
      </c>
      <c r="BU27" t="e">
        <f t="shared" si="37"/>
        <v>#DIV/0!</v>
      </c>
      <c r="BV27" t="s">
        <v>439</v>
      </c>
      <c r="BW27">
        <v>0</v>
      </c>
      <c r="BX27" t="e">
        <f t="shared" si="38"/>
        <v>#DIV/0!</v>
      </c>
      <c r="BY27" t="e">
        <f t="shared" si="39"/>
        <v>#DIV/0!</v>
      </c>
      <c r="BZ27" t="e">
        <f t="shared" si="40"/>
        <v>#DIV/0!</v>
      </c>
      <c r="CA27" t="e">
        <f t="shared" si="41"/>
        <v>#DIV/0!</v>
      </c>
      <c r="CB27" t="e">
        <f t="shared" si="42"/>
        <v>#DIV/0!</v>
      </c>
      <c r="CC27" t="e">
        <f t="shared" si="43"/>
        <v>#DIV/0!</v>
      </c>
      <c r="CD27" t="e">
        <f t="shared" si="44"/>
        <v>#DIV/0!</v>
      </c>
      <c r="CE27" t="e">
        <f t="shared" si="45"/>
        <v>#DIV/0!</v>
      </c>
      <c r="DN27">
        <f t="shared" si="46"/>
        <v>1049.99</v>
      </c>
      <c r="DO27">
        <f t="shared" si="47"/>
        <v>882.30479994630798</v>
      </c>
      <c r="DP27">
        <f t="shared" si="48"/>
        <v>0.84029828850399335</v>
      </c>
      <c r="DQ27">
        <f t="shared" si="49"/>
        <v>0.19059657700798685</v>
      </c>
      <c r="DR27">
        <v>6</v>
      </c>
      <c r="DS27">
        <v>0.5</v>
      </c>
      <c r="DT27" t="s">
        <v>440</v>
      </c>
      <c r="DU27">
        <v>2</v>
      </c>
      <c r="DV27" t="b">
        <v>1</v>
      </c>
      <c r="DW27">
        <v>1707839344.0999999</v>
      </c>
      <c r="DX27">
        <v>409.79</v>
      </c>
      <c r="DY27">
        <v>400.041</v>
      </c>
      <c r="DZ27">
        <v>11.432600000000001</v>
      </c>
      <c r="EA27">
        <v>11.3154</v>
      </c>
      <c r="EB27">
        <v>411.78500000000003</v>
      </c>
      <c r="EC27">
        <v>11.460900000000001</v>
      </c>
      <c r="ED27">
        <v>699.99</v>
      </c>
      <c r="EE27">
        <v>102.01</v>
      </c>
      <c r="EF27">
        <v>6.6527799999999998E-2</v>
      </c>
      <c r="EG27">
        <v>19.803599999999999</v>
      </c>
      <c r="EH27">
        <v>19.822299999999998</v>
      </c>
      <c r="EI27">
        <v>999.9</v>
      </c>
      <c r="EJ27">
        <v>0</v>
      </c>
      <c r="EK27">
        <v>0</v>
      </c>
      <c r="EL27">
        <v>9981.5</v>
      </c>
      <c r="EM27">
        <v>0</v>
      </c>
      <c r="EN27">
        <v>1.91117E-3</v>
      </c>
      <c r="EO27">
        <v>9.7494800000000001</v>
      </c>
      <c r="EP27">
        <v>414.529</v>
      </c>
      <c r="EQ27">
        <v>404.61900000000003</v>
      </c>
      <c r="ER27">
        <v>0.117284</v>
      </c>
      <c r="ES27">
        <v>400.041</v>
      </c>
      <c r="ET27">
        <v>11.3154</v>
      </c>
      <c r="EU27">
        <v>1.1662399999999999</v>
      </c>
      <c r="EV27">
        <v>1.15428</v>
      </c>
      <c r="EW27">
        <v>9.1774900000000006</v>
      </c>
      <c r="EX27">
        <v>9.0245899999999999</v>
      </c>
      <c r="EY27">
        <v>1049.99</v>
      </c>
      <c r="EZ27">
        <v>0.99000900000000003</v>
      </c>
      <c r="FA27">
        <v>9.9906400000000003E-3</v>
      </c>
      <c r="FB27">
        <v>0</v>
      </c>
      <c r="FC27">
        <v>636.80499999999995</v>
      </c>
      <c r="FD27">
        <v>5.0001800000000003</v>
      </c>
      <c r="FE27">
        <v>11330.4</v>
      </c>
      <c r="FF27">
        <v>8988.81</v>
      </c>
      <c r="FG27">
        <v>36.686999999999998</v>
      </c>
      <c r="FH27">
        <v>38</v>
      </c>
      <c r="FI27">
        <v>37.811999999999998</v>
      </c>
      <c r="FJ27">
        <v>38.75</v>
      </c>
      <c r="FK27">
        <v>37.936999999999998</v>
      </c>
      <c r="FL27">
        <v>1034.55</v>
      </c>
      <c r="FM27">
        <v>10.44</v>
      </c>
      <c r="FN27">
        <v>0</v>
      </c>
      <c r="FO27">
        <v>1685733753.7</v>
      </c>
      <c r="FP27">
        <v>0</v>
      </c>
      <c r="FQ27">
        <v>575.60714230769236</v>
      </c>
      <c r="FR27">
        <v>1660.0316255169471</v>
      </c>
      <c r="FS27">
        <v>-1379552.9288428731</v>
      </c>
      <c r="FT27">
        <v>83786.419230769228</v>
      </c>
      <c r="FU27">
        <v>15</v>
      </c>
      <c r="FV27">
        <v>0</v>
      </c>
      <c r="FW27" t="s">
        <v>441</v>
      </c>
      <c r="FX27">
        <v>1755807717.5</v>
      </c>
      <c r="FY27">
        <v>1755807720.5</v>
      </c>
      <c r="FZ27">
        <v>0</v>
      </c>
      <c r="GA27">
        <v>-0.11700000000000001</v>
      </c>
      <c r="GB27">
        <v>-1.6E-2</v>
      </c>
      <c r="GC27">
        <v>-2.0089999999999999</v>
      </c>
      <c r="GD27">
        <v>0.03</v>
      </c>
      <c r="GE27">
        <v>420</v>
      </c>
      <c r="GF27">
        <v>15</v>
      </c>
      <c r="GG27">
        <v>0.09</v>
      </c>
      <c r="GH27">
        <v>0.01</v>
      </c>
      <c r="GI27">
        <v>-36.164562757822409</v>
      </c>
      <c r="GJ27">
        <v>-72.950752251601642</v>
      </c>
      <c r="GK27">
        <v>54.101811761525028</v>
      </c>
      <c r="GL27">
        <v>0</v>
      </c>
      <c r="GM27">
        <v>-3.3674502918633799E-3</v>
      </c>
      <c r="GN27">
        <v>0.124356159618072</v>
      </c>
      <c r="GO27">
        <v>1.52119300956528E-2</v>
      </c>
      <c r="GP27">
        <v>0</v>
      </c>
      <c r="GQ27">
        <v>0</v>
      </c>
      <c r="GR27">
        <v>2</v>
      </c>
      <c r="GS27" t="s">
        <v>442</v>
      </c>
      <c r="GT27">
        <v>3.3656199999999998</v>
      </c>
      <c r="GU27">
        <v>2.76058</v>
      </c>
      <c r="GV27">
        <v>0.101007</v>
      </c>
      <c r="GW27">
        <v>9.8560499999999995E-2</v>
      </c>
      <c r="GX27">
        <v>6.9479100000000002E-2</v>
      </c>
      <c r="GY27">
        <v>6.8209199999999998E-2</v>
      </c>
      <c r="GZ27">
        <v>21460.799999999999</v>
      </c>
      <c r="HA27">
        <v>22164.9</v>
      </c>
      <c r="HB27">
        <v>25314</v>
      </c>
      <c r="HC27">
        <v>25983.8</v>
      </c>
      <c r="HD27">
        <v>35848.199999999997</v>
      </c>
      <c r="HE27">
        <v>36127.9</v>
      </c>
      <c r="HF27">
        <v>42373.9</v>
      </c>
      <c r="HG27">
        <v>41969.4</v>
      </c>
      <c r="HH27">
        <v>2.47898</v>
      </c>
      <c r="HI27">
        <v>2.5512999999999999</v>
      </c>
      <c r="HJ27">
        <v>8.7684399999999996E-2</v>
      </c>
      <c r="HK27">
        <v>0</v>
      </c>
      <c r="HL27">
        <v>18.369599999999998</v>
      </c>
      <c r="HM27">
        <v>999.9</v>
      </c>
      <c r="HN27">
        <v>69</v>
      </c>
      <c r="HO27">
        <v>19.2</v>
      </c>
      <c r="HP27">
        <v>15.103899999999999</v>
      </c>
      <c r="HQ27">
        <v>60.994700000000002</v>
      </c>
      <c r="HR27">
        <v>7.4559300000000004</v>
      </c>
      <c r="HS27">
        <v>2</v>
      </c>
      <c r="HT27">
        <v>-0.689079</v>
      </c>
      <c r="HU27">
        <v>0</v>
      </c>
      <c r="HV27">
        <v>20.370799999999999</v>
      </c>
      <c r="HW27">
        <v>5.2021899999999999</v>
      </c>
      <c r="HX27">
        <v>11.908099999999999</v>
      </c>
      <c r="HY27">
        <v>4.9924799999999996</v>
      </c>
      <c r="HZ27">
        <v>3.2807599999999999</v>
      </c>
      <c r="IA27">
        <v>9999</v>
      </c>
      <c r="IB27">
        <v>9999</v>
      </c>
      <c r="IC27">
        <v>9999</v>
      </c>
      <c r="ID27">
        <v>149.19999999999999</v>
      </c>
      <c r="IE27">
        <v>4.9718499999999999</v>
      </c>
      <c r="IF27">
        <v>1.8575999999999999</v>
      </c>
      <c r="IG27">
        <v>1.8669500000000001</v>
      </c>
      <c r="IH27">
        <v>1.8620399999999999</v>
      </c>
      <c r="II27">
        <v>1.8644099999999999</v>
      </c>
      <c r="IJ27">
        <v>1.8605100000000001</v>
      </c>
      <c r="IK27">
        <v>1.8629599999999999</v>
      </c>
      <c r="IL27">
        <v>1.8604700000000001</v>
      </c>
      <c r="IM27">
        <v>0</v>
      </c>
      <c r="IN27">
        <v>0</v>
      </c>
      <c r="IO27">
        <v>0</v>
      </c>
      <c r="IP27">
        <v>0</v>
      </c>
      <c r="IQ27" t="s">
        <v>443</v>
      </c>
      <c r="IR27" t="s">
        <v>444</v>
      </c>
      <c r="IS27" t="s">
        <v>445</v>
      </c>
      <c r="IT27" t="s">
        <v>445</v>
      </c>
      <c r="IU27" t="s">
        <v>445</v>
      </c>
      <c r="IV27" t="s">
        <v>445</v>
      </c>
      <c r="IW27">
        <v>0</v>
      </c>
      <c r="IX27">
        <v>100</v>
      </c>
      <c r="IY27">
        <v>100</v>
      </c>
      <c r="IZ27">
        <v>-1.9950000000000001</v>
      </c>
      <c r="JA27">
        <v>-2.8299999999999999E-2</v>
      </c>
      <c r="JB27">
        <v>-1.140465381763482</v>
      </c>
      <c r="JC27">
        <v>-2.4932477295996069E-3</v>
      </c>
      <c r="JD27">
        <v>1.159696634280317E-6</v>
      </c>
      <c r="JE27">
        <v>-3.5013845820821591E-10</v>
      </c>
      <c r="JF27">
        <v>-8.6309180691159976E-2</v>
      </c>
      <c r="JG27">
        <v>-7.5935071553627593E-3</v>
      </c>
      <c r="JH27">
        <v>1.367325239740887E-3</v>
      </c>
      <c r="JI27">
        <v>-2.2944115828177239E-5</v>
      </c>
      <c r="JJ27">
        <v>2</v>
      </c>
      <c r="JK27">
        <v>2118</v>
      </c>
      <c r="JL27">
        <v>1</v>
      </c>
      <c r="JM27">
        <v>27</v>
      </c>
      <c r="JN27">
        <v>-799472.9</v>
      </c>
      <c r="JO27">
        <v>-799472.9</v>
      </c>
      <c r="JP27">
        <v>1.25122</v>
      </c>
      <c r="JQ27">
        <v>2.4328599999999998</v>
      </c>
      <c r="JR27">
        <v>2.19604</v>
      </c>
      <c r="JS27">
        <v>2.7160600000000001</v>
      </c>
      <c r="JT27">
        <v>2.1496599999999999</v>
      </c>
      <c r="JU27">
        <v>2.4157700000000002</v>
      </c>
      <c r="JV27">
        <v>24.551300000000001</v>
      </c>
      <c r="JW27">
        <v>14.9551</v>
      </c>
      <c r="JX27">
        <v>18</v>
      </c>
      <c r="JY27">
        <v>661.00099999999998</v>
      </c>
      <c r="JZ27">
        <v>800.32600000000002</v>
      </c>
      <c r="KA27">
        <v>18.255299999999998</v>
      </c>
      <c r="KB27">
        <v>18.037500000000001</v>
      </c>
      <c r="KC27">
        <v>30.001899999999999</v>
      </c>
      <c r="KD27">
        <v>17.893599999999999</v>
      </c>
      <c r="KE27">
        <v>17.820499999999999</v>
      </c>
      <c r="KF27">
        <v>25.1249</v>
      </c>
      <c r="KG27">
        <v>34.991199999999999</v>
      </c>
      <c r="KH27">
        <v>53.556800000000003</v>
      </c>
      <c r="KI27">
        <v>-999.9</v>
      </c>
      <c r="KJ27">
        <v>400</v>
      </c>
      <c r="KK27">
        <v>11.237</v>
      </c>
      <c r="KL27">
        <v>102.672</v>
      </c>
      <c r="KM27">
        <v>102.699</v>
      </c>
    </row>
    <row r="28" spans="1:299" x14ac:dyDescent="0.2">
      <c r="A28">
        <v>12</v>
      </c>
      <c r="B28" t="s">
        <v>538</v>
      </c>
      <c r="C28">
        <v>12</v>
      </c>
      <c r="D28">
        <v>1707839691.0999999</v>
      </c>
      <c r="E28">
        <v>2764.099999904633</v>
      </c>
      <c r="F28" t="s">
        <v>467</v>
      </c>
      <c r="G28" t="s">
        <v>468</v>
      </c>
      <c r="H28" t="s">
        <v>436</v>
      </c>
      <c r="I28" t="s">
        <v>437</v>
      </c>
      <c r="J28" t="s">
        <v>438</v>
      </c>
      <c r="M28" t="s">
        <v>438</v>
      </c>
      <c r="O28">
        <v>1707839691.0999999</v>
      </c>
      <c r="P28">
        <f t="shared" si="0"/>
        <v>5.8952059525778562E-4</v>
      </c>
      <c r="Q28">
        <f t="shared" si="1"/>
        <v>0.58952059525778566</v>
      </c>
      <c r="R28">
        <f t="shared" si="2"/>
        <v>5.6424244554559859</v>
      </c>
      <c r="S28">
        <f t="shared" si="3"/>
        <v>420.08100000000002</v>
      </c>
      <c r="T28">
        <f t="shared" si="4"/>
        <v>221.31450447270376</v>
      </c>
      <c r="U28">
        <f t="shared" si="5"/>
        <v>22.586731054784117</v>
      </c>
      <c r="V28">
        <f t="shared" si="6"/>
        <v>42.872276224421704</v>
      </c>
      <c r="W28">
        <f t="shared" si="7"/>
        <v>4.7297836595729607E-2</v>
      </c>
      <c r="X28">
        <f t="shared" si="8"/>
        <v>2.9610454301717688</v>
      </c>
      <c r="Y28">
        <f t="shared" si="9"/>
        <v>4.6882094069371438E-2</v>
      </c>
      <c r="Z28">
        <f t="shared" si="10"/>
        <v>2.9338356898541616E-2</v>
      </c>
      <c r="AA28">
        <f t="shared" si="11"/>
        <v>209.59099990329096</v>
      </c>
      <c r="AB28">
        <f t="shared" si="12"/>
        <v>21.468874383206742</v>
      </c>
      <c r="AC28">
        <f t="shared" si="13"/>
        <v>20.747299999999999</v>
      </c>
      <c r="AD28">
        <f t="shared" si="14"/>
        <v>2.4574342963853915</v>
      </c>
      <c r="AE28">
        <f t="shared" si="15"/>
        <v>49.791275946221432</v>
      </c>
      <c r="AF28">
        <f t="shared" si="16"/>
        <v>1.1970897307947199</v>
      </c>
      <c r="AG28">
        <f t="shared" si="17"/>
        <v>2.404215815010792</v>
      </c>
      <c r="AH28">
        <f t="shared" si="18"/>
        <v>1.2603445655906715</v>
      </c>
      <c r="AI28">
        <f t="shared" si="19"/>
        <v>-25.997858250868347</v>
      </c>
      <c r="AJ28">
        <f t="shared" si="20"/>
        <v>-56.686701425277427</v>
      </c>
      <c r="AK28">
        <f t="shared" si="21"/>
        <v>-3.8715189675784103</v>
      </c>
      <c r="AL28">
        <f t="shared" si="22"/>
        <v>123.0349212595668</v>
      </c>
      <c r="AM28">
        <f t="shared" si="23"/>
        <v>-23.418030133162929</v>
      </c>
      <c r="AN28">
        <f t="shared" si="24"/>
        <v>-4.2726046096966695E-2</v>
      </c>
      <c r="AO28">
        <f t="shared" si="25"/>
        <v>5.6424244554559859</v>
      </c>
      <c r="AP28">
        <v>404.77189129050089</v>
      </c>
      <c r="AQ28">
        <v>427.32299999999992</v>
      </c>
      <c r="AR28">
        <v>-6.8626756768096762</v>
      </c>
      <c r="AS28">
        <v>66.979444046088361</v>
      </c>
      <c r="AT28">
        <f t="shared" si="26"/>
        <v>0.58952059525778566</v>
      </c>
      <c r="AU28">
        <v>11.756066466356961</v>
      </c>
      <c r="AV28">
        <v>11.70254484848485</v>
      </c>
      <c r="AW28">
        <v>0.11802840048255051</v>
      </c>
      <c r="AX28">
        <v>78.469903011494864</v>
      </c>
      <c r="AY28">
        <v>15</v>
      </c>
      <c r="AZ28">
        <v>2</v>
      </c>
      <c r="BA28">
        <f t="shared" si="27"/>
        <v>1</v>
      </c>
      <c r="BB28">
        <f t="shared" si="28"/>
        <v>0</v>
      </c>
      <c r="BC28">
        <f t="shared" si="29"/>
        <v>55048.74924875149</v>
      </c>
      <c r="BD28" t="s">
        <v>439</v>
      </c>
      <c r="BE28" t="s">
        <v>439</v>
      </c>
      <c r="BF28">
        <v>0</v>
      </c>
      <c r="BG28">
        <v>0</v>
      </c>
      <c r="BH28" t="e">
        <f t="shared" si="30"/>
        <v>#DIV/0!</v>
      </c>
      <c r="BI28">
        <v>0</v>
      </c>
      <c r="BJ28" t="s">
        <v>439</v>
      </c>
      <c r="BK28" t="s">
        <v>439</v>
      </c>
      <c r="BL28">
        <v>0</v>
      </c>
      <c r="BM28">
        <v>0</v>
      </c>
      <c r="BN28" t="e">
        <f t="shared" si="31"/>
        <v>#DIV/0!</v>
      </c>
      <c r="BO28">
        <v>0.5</v>
      </c>
      <c r="BP28">
        <f t="shared" si="32"/>
        <v>924.29549995164552</v>
      </c>
      <c r="BQ28">
        <f t="shared" si="33"/>
        <v>5.6424244554559859</v>
      </c>
      <c r="BR28" t="e">
        <f t="shared" si="34"/>
        <v>#DIV/0!</v>
      </c>
      <c r="BS28">
        <f t="shared" si="35"/>
        <v>6.1045677012937626E-3</v>
      </c>
      <c r="BT28" t="e">
        <f t="shared" si="36"/>
        <v>#DIV/0!</v>
      </c>
      <c r="BU28" t="e">
        <f t="shared" si="37"/>
        <v>#DIV/0!</v>
      </c>
      <c r="BV28" t="s">
        <v>439</v>
      </c>
      <c r="BW28">
        <v>0</v>
      </c>
      <c r="BX28" t="e">
        <f t="shared" si="38"/>
        <v>#DIV/0!</v>
      </c>
      <c r="BY28" t="e">
        <f t="shared" si="39"/>
        <v>#DIV/0!</v>
      </c>
      <c r="BZ28" t="e">
        <f t="shared" si="40"/>
        <v>#DIV/0!</v>
      </c>
      <c r="CA28" t="e">
        <f t="shared" si="41"/>
        <v>#DIV/0!</v>
      </c>
      <c r="CB28" t="e">
        <f t="shared" si="42"/>
        <v>#DIV/0!</v>
      </c>
      <c r="CC28" t="e">
        <f t="shared" si="43"/>
        <v>#DIV/0!</v>
      </c>
      <c r="CD28" t="e">
        <f t="shared" si="44"/>
        <v>#DIV/0!</v>
      </c>
      <c r="CE28" t="e">
        <f t="shared" si="45"/>
        <v>#DIV/0!</v>
      </c>
      <c r="DN28">
        <f t="shared" si="46"/>
        <v>1100</v>
      </c>
      <c r="DO28">
        <f t="shared" si="47"/>
        <v>924.29549995164552</v>
      </c>
      <c r="DP28">
        <f t="shared" si="48"/>
        <v>0.84026863631967774</v>
      </c>
      <c r="DQ28">
        <f t="shared" si="49"/>
        <v>0.19053727263935541</v>
      </c>
      <c r="DR28">
        <v>6</v>
      </c>
      <c r="DS28">
        <v>0.5</v>
      </c>
      <c r="DT28" t="s">
        <v>440</v>
      </c>
      <c r="DU28">
        <v>2</v>
      </c>
      <c r="DV28" t="b">
        <v>1</v>
      </c>
      <c r="DW28">
        <v>1707839691.0999999</v>
      </c>
      <c r="DX28">
        <v>420.08100000000002</v>
      </c>
      <c r="DY28">
        <v>399.98899999999998</v>
      </c>
      <c r="DZ28">
        <v>11.7296</v>
      </c>
      <c r="EA28">
        <v>11.7658</v>
      </c>
      <c r="EB28">
        <v>422.09399999999999</v>
      </c>
      <c r="EC28">
        <v>11.753500000000001</v>
      </c>
      <c r="ED28">
        <v>699.86</v>
      </c>
      <c r="EE28">
        <v>101.985</v>
      </c>
      <c r="EF28">
        <v>7.2165699999999999E-2</v>
      </c>
      <c r="EG28">
        <v>20.392199999999999</v>
      </c>
      <c r="EH28">
        <v>20.747299999999999</v>
      </c>
      <c r="EI28">
        <v>999.9</v>
      </c>
      <c r="EJ28">
        <v>0</v>
      </c>
      <c r="EK28">
        <v>0</v>
      </c>
      <c r="EL28">
        <v>9982.5</v>
      </c>
      <c r="EM28">
        <v>0</v>
      </c>
      <c r="EN28">
        <v>1.91117E-3</v>
      </c>
      <c r="EO28">
        <v>20.092300000000002</v>
      </c>
      <c r="EP28">
        <v>425.06700000000001</v>
      </c>
      <c r="EQ28">
        <v>404.75099999999998</v>
      </c>
      <c r="ER28">
        <v>-3.6149000000000001E-2</v>
      </c>
      <c r="ES28">
        <v>399.98899999999998</v>
      </c>
      <c r="ET28">
        <v>11.7658</v>
      </c>
      <c r="EU28">
        <v>1.19625</v>
      </c>
      <c r="EV28">
        <v>1.19994</v>
      </c>
      <c r="EW28">
        <v>9.5549800000000005</v>
      </c>
      <c r="EX28">
        <v>9.6007800000000003</v>
      </c>
      <c r="EY28">
        <v>1100</v>
      </c>
      <c r="EZ28">
        <v>0.99100600000000005</v>
      </c>
      <c r="FA28">
        <v>8.9936100000000008E-3</v>
      </c>
      <c r="FB28">
        <v>0</v>
      </c>
      <c r="FC28">
        <v>723.404</v>
      </c>
      <c r="FD28">
        <v>5.0001800000000003</v>
      </c>
      <c r="FE28">
        <v>15095.9</v>
      </c>
      <c r="FF28">
        <v>9421.65</v>
      </c>
      <c r="FG28">
        <v>37.5</v>
      </c>
      <c r="FH28">
        <v>38.875</v>
      </c>
      <c r="FI28">
        <v>38.561999999999998</v>
      </c>
      <c r="FJ28">
        <v>39.311999999999998</v>
      </c>
      <c r="FK28">
        <v>38.686999999999998</v>
      </c>
      <c r="FL28">
        <v>1085.1500000000001</v>
      </c>
      <c r="FM28">
        <v>9.85</v>
      </c>
      <c r="FN28">
        <v>0</v>
      </c>
      <c r="FO28">
        <v>1685734100.5</v>
      </c>
      <c r="FP28">
        <v>0</v>
      </c>
      <c r="FQ28">
        <v>515.5768807692308</v>
      </c>
      <c r="FR28">
        <v>3533.5740976599741</v>
      </c>
      <c r="FS28">
        <v>-2106111.9284799621</v>
      </c>
      <c r="FT28">
        <v>210909.34346153849</v>
      </c>
      <c r="FU28">
        <v>15</v>
      </c>
      <c r="FV28">
        <v>0</v>
      </c>
      <c r="FW28" t="s">
        <v>441</v>
      </c>
      <c r="FX28">
        <v>1755807717.5</v>
      </c>
      <c r="FY28">
        <v>1755807720.5</v>
      </c>
      <c r="FZ28">
        <v>0</v>
      </c>
      <c r="GA28">
        <v>-0.11700000000000001</v>
      </c>
      <c r="GB28">
        <v>-1.6E-2</v>
      </c>
      <c r="GC28">
        <v>-2.0089999999999999</v>
      </c>
      <c r="GD28">
        <v>0.03</v>
      </c>
      <c r="GE28">
        <v>420</v>
      </c>
      <c r="GF28">
        <v>15</v>
      </c>
      <c r="GG28">
        <v>0.09</v>
      </c>
      <c r="GH28">
        <v>0.01</v>
      </c>
      <c r="GI28">
        <v>-40.96597441567026</v>
      </c>
      <c r="GJ28">
        <v>-173.08003176040029</v>
      </c>
      <c r="GK28">
        <v>49.477440000748743</v>
      </c>
      <c r="GL28">
        <v>0</v>
      </c>
      <c r="GM28">
        <v>-3.7854635194068148E-2</v>
      </c>
      <c r="GN28">
        <v>-8.0046976475082535E-2</v>
      </c>
      <c r="GO28">
        <v>5.1316692417255852E-2</v>
      </c>
      <c r="GP28">
        <v>0</v>
      </c>
      <c r="GQ28">
        <v>0</v>
      </c>
      <c r="GR28">
        <v>2</v>
      </c>
      <c r="GS28" t="s">
        <v>442</v>
      </c>
      <c r="GT28">
        <v>3.3655599999999999</v>
      </c>
      <c r="GU28">
        <v>2.7662300000000002</v>
      </c>
      <c r="GV28">
        <v>0.102516</v>
      </c>
      <c r="GW28">
        <v>9.8197000000000007E-2</v>
      </c>
      <c r="GX28">
        <v>7.0555400000000004E-2</v>
      </c>
      <c r="GY28">
        <v>7.0000199999999999E-2</v>
      </c>
      <c r="GZ28">
        <v>21360.1</v>
      </c>
      <c r="HA28">
        <v>22099.5</v>
      </c>
      <c r="HB28">
        <v>25244.6</v>
      </c>
      <c r="HC28">
        <v>25903.8</v>
      </c>
      <c r="HD28">
        <v>35703.599999999999</v>
      </c>
      <c r="HE28">
        <v>35957.699999999997</v>
      </c>
      <c r="HF28">
        <v>42249.8</v>
      </c>
      <c r="HG28">
        <v>41852</v>
      </c>
      <c r="HH28">
        <v>2.4681999999999999</v>
      </c>
      <c r="HI28">
        <v>2.5113599999999998</v>
      </c>
      <c r="HJ28">
        <v>0.122529</v>
      </c>
      <c r="HK28">
        <v>0</v>
      </c>
      <c r="HL28">
        <v>18.7194</v>
      </c>
      <c r="HM28">
        <v>999.9</v>
      </c>
      <c r="HN28">
        <v>73.599999999999994</v>
      </c>
      <c r="HO28">
        <v>20.399999999999999</v>
      </c>
      <c r="HP28">
        <v>17.359500000000001</v>
      </c>
      <c r="HQ28">
        <v>61.124699999999997</v>
      </c>
      <c r="HR28">
        <v>7.8846100000000003</v>
      </c>
      <c r="HS28">
        <v>2</v>
      </c>
      <c r="HT28">
        <v>-0.57906899999999994</v>
      </c>
      <c r="HU28">
        <v>0</v>
      </c>
      <c r="HV28">
        <v>20.370799999999999</v>
      </c>
      <c r="HW28">
        <v>5.2053099999999999</v>
      </c>
      <c r="HX28">
        <v>11.9093</v>
      </c>
      <c r="HY28">
        <v>4.9921199999999999</v>
      </c>
      <c r="HZ28">
        <v>3.2808799999999998</v>
      </c>
      <c r="IA28">
        <v>9999</v>
      </c>
      <c r="IB28">
        <v>9999</v>
      </c>
      <c r="IC28">
        <v>9999</v>
      </c>
      <c r="ID28">
        <v>149.30000000000001</v>
      </c>
      <c r="IE28">
        <v>4.9718499999999999</v>
      </c>
      <c r="IF28">
        <v>1.8577600000000001</v>
      </c>
      <c r="IG28">
        <v>1.8670800000000001</v>
      </c>
      <c r="IH28">
        <v>1.8621799999999999</v>
      </c>
      <c r="II28">
        <v>1.8644700000000001</v>
      </c>
      <c r="IJ28">
        <v>1.86066</v>
      </c>
      <c r="IK28">
        <v>1.8629500000000001</v>
      </c>
      <c r="IL28">
        <v>1.8605400000000001</v>
      </c>
      <c r="IM28">
        <v>0</v>
      </c>
      <c r="IN28">
        <v>0</v>
      </c>
      <c r="IO28">
        <v>0</v>
      </c>
      <c r="IP28">
        <v>0</v>
      </c>
      <c r="IQ28" t="s">
        <v>443</v>
      </c>
      <c r="IR28" t="s">
        <v>444</v>
      </c>
      <c r="IS28" t="s">
        <v>445</v>
      </c>
      <c r="IT28" t="s">
        <v>445</v>
      </c>
      <c r="IU28" t="s">
        <v>445</v>
      </c>
      <c r="IV28" t="s">
        <v>445</v>
      </c>
      <c r="IW28">
        <v>0</v>
      </c>
      <c r="IX28">
        <v>100</v>
      </c>
      <c r="IY28">
        <v>100</v>
      </c>
      <c r="IZ28">
        <v>-2.0129999999999999</v>
      </c>
      <c r="JA28">
        <v>-2.3900000000000001E-2</v>
      </c>
      <c r="JB28">
        <v>-1.140465381763482</v>
      </c>
      <c r="JC28">
        <v>-2.4932477295996069E-3</v>
      </c>
      <c r="JD28">
        <v>1.159696634280317E-6</v>
      </c>
      <c r="JE28">
        <v>-3.5013845820821591E-10</v>
      </c>
      <c r="JF28">
        <v>-8.6309180691159976E-2</v>
      </c>
      <c r="JG28">
        <v>-7.5935071553627593E-3</v>
      </c>
      <c r="JH28">
        <v>1.367325239740887E-3</v>
      </c>
      <c r="JI28">
        <v>-2.2944115828177239E-5</v>
      </c>
      <c r="JJ28">
        <v>2</v>
      </c>
      <c r="JK28">
        <v>2118</v>
      </c>
      <c r="JL28">
        <v>1</v>
      </c>
      <c r="JM28">
        <v>27</v>
      </c>
      <c r="JN28">
        <v>-799467.1</v>
      </c>
      <c r="JO28">
        <v>-799467.2</v>
      </c>
      <c r="JP28">
        <v>1.25</v>
      </c>
      <c r="JQ28">
        <v>2.4475099999999999</v>
      </c>
      <c r="JR28">
        <v>2.19604</v>
      </c>
      <c r="JS28">
        <v>2.7111800000000001</v>
      </c>
      <c r="JT28">
        <v>2.1496599999999999</v>
      </c>
      <c r="JU28">
        <v>2.4182100000000002</v>
      </c>
      <c r="JV28">
        <v>25.819400000000002</v>
      </c>
      <c r="JW28">
        <v>14.8588</v>
      </c>
      <c r="JX28">
        <v>18</v>
      </c>
      <c r="JY28">
        <v>671.55200000000002</v>
      </c>
      <c r="JZ28">
        <v>785.54200000000003</v>
      </c>
      <c r="KA28">
        <v>19.2485</v>
      </c>
      <c r="KB28">
        <v>19.4663</v>
      </c>
      <c r="KC28">
        <v>30.0014</v>
      </c>
      <c r="KD28">
        <v>19.281600000000001</v>
      </c>
      <c r="KE28">
        <v>19.128</v>
      </c>
      <c r="KF28">
        <v>25.091899999999999</v>
      </c>
      <c r="KG28">
        <v>40.583300000000001</v>
      </c>
      <c r="KH28">
        <v>49.063400000000001</v>
      </c>
      <c r="KI28">
        <v>-999.9</v>
      </c>
      <c r="KJ28">
        <v>400</v>
      </c>
      <c r="KK28">
        <v>11.6822</v>
      </c>
      <c r="KL28">
        <v>102.378</v>
      </c>
      <c r="KM28">
        <v>102.401</v>
      </c>
    </row>
    <row r="29" spans="1:299" x14ac:dyDescent="0.2">
      <c r="A29">
        <v>13</v>
      </c>
      <c r="B29" t="s">
        <v>538</v>
      </c>
      <c r="C29">
        <v>13</v>
      </c>
      <c r="D29">
        <v>1707839953.0999999</v>
      </c>
      <c r="E29">
        <v>3026.099999904633</v>
      </c>
      <c r="F29" t="s">
        <v>469</v>
      </c>
      <c r="G29" t="s">
        <v>470</v>
      </c>
      <c r="H29" t="s">
        <v>436</v>
      </c>
      <c r="I29" t="s">
        <v>437</v>
      </c>
      <c r="J29" t="s">
        <v>438</v>
      </c>
      <c r="M29" t="s">
        <v>438</v>
      </c>
      <c r="O29">
        <v>1707839953.0999999</v>
      </c>
      <c r="P29">
        <f t="shared" si="0"/>
        <v>5.9309675726523813E-4</v>
      </c>
      <c r="Q29">
        <f t="shared" si="1"/>
        <v>0.59309675726523814</v>
      </c>
      <c r="R29">
        <f t="shared" si="2"/>
        <v>5.4278473648073948</v>
      </c>
      <c r="S29">
        <f t="shared" si="3"/>
        <v>413.42399999999998</v>
      </c>
      <c r="T29">
        <f t="shared" si="4"/>
        <v>215.00376047220342</v>
      </c>
      <c r="U29">
        <f t="shared" si="5"/>
        <v>21.945664616434293</v>
      </c>
      <c r="V29">
        <f t="shared" si="6"/>
        <v>42.198631449321589</v>
      </c>
      <c r="W29">
        <f t="shared" si="7"/>
        <v>4.5602485926016262E-2</v>
      </c>
      <c r="X29">
        <f t="shared" si="8"/>
        <v>2.9630385493433034</v>
      </c>
      <c r="Y29">
        <f t="shared" si="9"/>
        <v>4.5216139372964342E-2</v>
      </c>
      <c r="Z29">
        <f t="shared" si="10"/>
        <v>2.8294525858974504E-2</v>
      </c>
      <c r="AA29">
        <f t="shared" si="11"/>
        <v>209.57010527659298</v>
      </c>
      <c r="AB29">
        <f t="shared" si="12"/>
        <v>22.189441849143172</v>
      </c>
      <c r="AC29">
        <f t="shared" si="13"/>
        <v>21.580500000000001</v>
      </c>
      <c r="AD29">
        <f t="shared" si="14"/>
        <v>2.5863745826000466</v>
      </c>
      <c r="AE29">
        <f t="shared" si="15"/>
        <v>50.637064382984164</v>
      </c>
      <c r="AF29">
        <f t="shared" si="16"/>
        <v>1.2728262852979999</v>
      </c>
      <c r="AG29">
        <f t="shared" si="17"/>
        <v>2.513625741949042</v>
      </c>
      <c r="AH29">
        <f t="shared" si="18"/>
        <v>1.3135482973020467</v>
      </c>
      <c r="AI29">
        <f t="shared" si="19"/>
        <v>-26.155566995397002</v>
      </c>
      <c r="AJ29">
        <f t="shared" si="20"/>
        <v>-74.36052210370768</v>
      </c>
      <c r="AK29">
        <f t="shared" si="21"/>
        <v>-5.1156258028690553</v>
      </c>
      <c r="AL29">
        <f t="shared" si="22"/>
        <v>103.93839037461923</v>
      </c>
      <c r="AM29">
        <f t="shared" si="23"/>
        <v>-15.773316569800336</v>
      </c>
      <c r="AN29">
        <f t="shared" si="24"/>
        <v>0.3433128937855065</v>
      </c>
      <c r="AO29">
        <f t="shared" si="25"/>
        <v>5.4278473648073948</v>
      </c>
      <c r="AP29">
        <v>404.94317433595239</v>
      </c>
      <c r="AQ29">
        <v>420.65842424242402</v>
      </c>
      <c r="AR29">
        <v>-5.1174560616442637</v>
      </c>
      <c r="AS29">
        <v>66.999085394592399</v>
      </c>
      <c r="AT29">
        <f t="shared" si="26"/>
        <v>0.59309675726523814</v>
      </c>
      <c r="AU29">
        <v>12.17793182698736</v>
      </c>
      <c r="AV29">
        <v>12.45507454545454</v>
      </c>
      <c r="AW29">
        <v>4.8121983435905992E-2</v>
      </c>
      <c r="AX29">
        <v>78.505028845393213</v>
      </c>
      <c r="AY29">
        <v>0</v>
      </c>
      <c r="AZ29">
        <v>0</v>
      </c>
      <c r="BA29">
        <f t="shared" si="27"/>
        <v>1</v>
      </c>
      <c r="BB29">
        <f t="shared" si="28"/>
        <v>0</v>
      </c>
      <c r="BC29">
        <f t="shared" si="29"/>
        <v>54973.191818038686</v>
      </c>
      <c r="BD29" t="s">
        <v>439</v>
      </c>
      <c r="BE29" t="s">
        <v>439</v>
      </c>
      <c r="BF29">
        <v>0</v>
      </c>
      <c r="BG29">
        <v>0</v>
      </c>
      <c r="BH29" t="e">
        <f t="shared" si="30"/>
        <v>#DIV/0!</v>
      </c>
      <c r="BI29">
        <v>0</v>
      </c>
      <c r="BJ29" t="s">
        <v>439</v>
      </c>
      <c r="BK29" t="s">
        <v>439</v>
      </c>
      <c r="BL29">
        <v>0</v>
      </c>
      <c r="BM29">
        <v>0</v>
      </c>
      <c r="BN29" t="e">
        <f t="shared" si="31"/>
        <v>#DIV/0!</v>
      </c>
      <c r="BO29">
        <v>0.5</v>
      </c>
      <c r="BP29">
        <f t="shared" si="32"/>
        <v>924.20310263829663</v>
      </c>
      <c r="BQ29">
        <f t="shared" si="33"/>
        <v>5.4278473648073948</v>
      </c>
      <c r="BR29" t="e">
        <f t="shared" si="34"/>
        <v>#DIV/0!</v>
      </c>
      <c r="BS29">
        <f t="shared" si="35"/>
        <v>5.8730027515734055E-3</v>
      </c>
      <c r="BT29" t="e">
        <f t="shared" si="36"/>
        <v>#DIV/0!</v>
      </c>
      <c r="BU29" t="e">
        <f t="shared" si="37"/>
        <v>#DIV/0!</v>
      </c>
      <c r="BV29" t="s">
        <v>439</v>
      </c>
      <c r="BW29">
        <v>0</v>
      </c>
      <c r="BX29" t="e">
        <f t="shared" si="38"/>
        <v>#DIV/0!</v>
      </c>
      <c r="BY29" t="e">
        <f t="shared" si="39"/>
        <v>#DIV/0!</v>
      </c>
      <c r="BZ29" t="e">
        <f t="shared" si="40"/>
        <v>#DIV/0!</v>
      </c>
      <c r="CA29" t="e">
        <f t="shared" si="41"/>
        <v>#DIV/0!</v>
      </c>
      <c r="CB29" t="e">
        <f t="shared" si="42"/>
        <v>#DIV/0!</v>
      </c>
      <c r="CC29" t="e">
        <f t="shared" si="43"/>
        <v>#DIV/0!</v>
      </c>
      <c r="CD29" t="e">
        <f t="shared" si="44"/>
        <v>#DIV/0!</v>
      </c>
      <c r="CE29" t="e">
        <f t="shared" si="45"/>
        <v>#DIV/0!</v>
      </c>
      <c r="DN29">
        <f t="shared" si="46"/>
        <v>1099.8900000000001</v>
      </c>
      <c r="DO29">
        <f t="shared" si="47"/>
        <v>924.20310263829663</v>
      </c>
      <c r="DP29">
        <f t="shared" si="48"/>
        <v>0.84026866562865066</v>
      </c>
      <c r="DQ29">
        <f t="shared" si="49"/>
        <v>0.19053733125730116</v>
      </c>
      <c r="DR29">
        <v>6</v>
      </c>
      <c r="DS29">
        <v>0.5</v>
      </c>
      <c r="DT29" t="s">
        <v>440</v>
      </c>
      <c r="DU29">
        <v>2</v>
      </c>
      <c r="DV29" t="b">
        <v>1</v>
      </c>
      <c r="DW29">
        <v>1707839953.0999999</v>
      </c>
      <c r="DX29">
        <v>413.42399999999998</v>
      </c>
      <c r="DY29">
        <v>400.02100000000002</v>
      </c>
      <c r="DZ29">
        <v>12.47</v>
      </c>
      <c r="EA29">
        <v>12.1793</v>
      </c>
      <c r="EB29">
        <v>415.42500000000001</v>
      </c>
      <c r="EC29">
        <v>12.482699999999999</v>
      </c>
      <c r="ED29">
        <v>699.75599999999997</v>
      </c>
      <c r="EE29">
        <v>101.99299999999999</v>
      </c>
      <c r="EF29">
        <v>7.8073400000000001E-2</v>
      </c>
      <c r="EG29">
        <v>21.114999999999998</v>
      </c>
      <c r="EH29">
        <v>21.580500000000001</v>
      </c>
      <c r="EI29">
        <v>999.9</v>
      </c>
      <c r="EJ29">
        <v>0</v>
      </c>
      <c r="EK29">
        <v>0</v>
      </c>
      <c r="EL29">
        <v>9993</v>
      </c>
      <c r="EM29">
        <v>0</v>
      </c>
      <c r="EN29">
        <v>1.91117E-3</v>
      </c>
      <c r="EO29">
        <v>13.403</v>
      </c>
      <c r="EP29">
        <v>418.64400000000001</v>
      </c>
      <c r="EQ29">
        <v>404.95299999999997</v>
      </c>
      <c r="ER29">
        <v>0.29070000000000001</v>
      </c>
      <c r="ES29">
        <v>400.02100000000002</v>
      </c>
      <c r="ET29">
        <v>12.1793</v>
      </c>
      <c r="EU29">
        <v>1.2718499999999999</v>
      </c>
      <c r="EV29">
        <v>1.24221</v>
      </c>
      <c r="EW29">
        <v>10.4703</v>
      </c>
      <c r="EX29">
        <v>10.1172</v>
      </c>
      <c r="EY29">
        <v>1099.8900000000001</v>
      </c>
      <c r="EZ29">
        <v>0.99099899999999996</v>
      </c>
      <c r="FA29">
        <v>9.0008699999999994E-3</v>
      </c>
      <c r="FB29">
        <v>0</v>
      </c>
      <c r="FC29">
        <v>641.89599999999996</v>
      </c>
      <c r="FD29">
        <v>5.0001800000000003</v>
      </c>
      <c r="FE29">
        <v>9089.99</v>
      </c>
      <c r="FF29">
        <v>9420.69</v>
      </c>
      <c r="FG29">
        <v>37.125</v>
      </c>
      <c r="FH29">
        <v>38.436999999999998</v>
      </c>
      <c r="FI29">
        <v>38.311999999999998</v>
      </c>
      <c r="FJ29">
        <v>38.375</v>
      </c>
      <c r="FK29">
        <v>38.25</v>
      </c>
      <c r="FL29">
        <v>1085.03</v>
      </c>
      <c r="FM29">
        <v>9.85</v>
      </c>
      <c r="FN29">
        <v>0</v>
      </c>
      <c r="FO29">
        <v>1685734362.7</v>
      </c>
      <c r="FP29">
        <v>0</v>
      </c>
      <c r="FQ29">
        <v>546.81449600000008</v>
      </c>
      <c r="FR29">
        <v>2476.4035715368309</v>
      </c>
      <c r="FS29">
        <v>-4010807.7698028581</v>
      </c>
      <c r="FT29">
        <v>235498.0932</v>
      </c>
      <c r="FU29">
        <v>15</v>
      </c>
      <c r="FV29">
        <v>0</v>
      </c>
      <c r="FW29" t="s">
        <v>441</v>
      </c>
      <c r="FX29">
        <v>1755807717.5</v>
      </c>
      <c r="FY29">
        <v>1755807720.5</v>
      </c>
      <c r="FZ29">
        <v>0</v>
      </c>
      <c r="GA29">
        <v>-0.11700000000000001</v>
      </c>
      <c r="GB29">
        <v>-1.6E-2</v>
      </c>
      <c r="GC29">
        <v>-2.0089999999999999</v>
      </c>
      <c r="GD29">
        <v>0.03</v>
      </c>
      <c r="GE29">
        <v>420</v>
      </c>
      <c r="GF29">
        <v>15</v>
      </c>
      <c r="GG29">
        <v>0.09</v>
      </c>
      <c r="GH29">
        <v>0.01</v>
      </c>
      <c r="GI29">
        <v>-38.64500743906725</v>
      </c>
      <c r="GJ29">
        <v>-162.1122411994788</v>
      </c>
      <c r="GK29">
        <v>54.675041828893242</v>
      </c>
      <c r="GL29">
        <v>0</v>
      </c>
      <c r="GM29">
        <v>-1.019967548091694E-2</v>
      </c>
      <c r="GN29">
        <v>0.16198697156635811</v>
      </c>
      <c r="GO29">
        <v>4.8982430941743767E-2</v>
      </c>
      <c r="GP29">
        <v>0</v>
      </c>
      <c r="GQ29">
        <v>0</v>
      </c>
      <c r="GR29">
        <v>2</v>
      </c>
      <c r="GS29" t="s">
        <v>442</v>
      </c>
      <c r="GT29">
        <v>3.3655499999999998</v>
      </c>
      <c r="GU29">
        <v>2.7722199999999999</v>
      </c>
      <c r="GV29">
        <v>0.101064</v>
      </c>
      <c r="GW29">
        <v>9.7964399999999993E-2</v>
      </c>
      <c r="GX29">
        <v>7.3681999999999997E-2</v>
      </c>
      <c r="GY29">
        <v>7.1671399999999996E-2</v>
      </c>
      <c r="GZ29">
        <v>21358.5</v>
      </c>
      <c r="HA29">
        <v>22061.599999999999</v>
      </c>
      <c r="HB29">
        <v>25206.400000000001</v>
      </c>
      <c r="HC29">
        <v>25857.4</v>
      </c>
      <c r="HD29">
        <v>35525.300000000003</v>
      </c>
      <c r="HE29">
        <v>35835.300000000003</v>
      </c>
      <c r="HF29">
        <v>42180.6</v>
      </c>
      <c r="HG29">
        <v>41784.6</v>
      </c>
      <c r="HH29">
        <v>2.48556</v>
      </c>
      <c r="HI29">
        <v>2.48508</v>
      </c>
      <c r="HJ29">
        <v>0.13245899999999999</v>
      </c>
      <c r="HK29">
        <v>0</v>
      </c>
      <c r="HL29">
        <v>19.390899999999998</v>
      </c>
      <c r="HM29">
        <v>999.9</v>
      </c>
      <c r="HN29">
        <v>74.599999999999994</v>
      </c>
      <c r="HO29">
        <v>21.3</v>
      </c>
      <c r="HP29">
        <v>18.596299999999999</v>
      </c>
      <c r="HQ29">
        <v>60.874600000000001</v>
      </c>
      <c r="HR29">
        <v>7.8445499999999999</v>
      </c>
      <c r="HS29">
        <v>2</v>
      </c>
      <c r="HT29">
        <v>-0.51586799999999999</v>
      </c>
      <c r="HU29">
        <v>0</v>
      </c>
      <c r="HV29">
        <v>20.371200000000002</v>
      </c>
      <c r="HW29">
        <v>5.2037500000000003</v>
      </c>
      <c r="HX29">
        <v>11.914099999999999</v>
      </c>
      <c r="HY29">
        <v>4.9922399999999998</v>
      </c>
      <c r="HZ29">
        <v>3.2811599999999999</v>
      </c>
      <c r="IA29">
        <v>9999</v>
      </c>
      <c r="IB29">
        <v>9999</v>
      </c>
      <c r="IC29">
        <v>9999</v>
      </c>
      <c r="ID29">
        <v>149.30000000000001</v>
      </c>
      <c r="IE29">
        <v>4.9718499999999999</v>
      </c>
      <c r="IF29">
        <v>1.85778</v>
      </c>
      <c r="IG29">
        <v>1.8671599999999999</v>
      </c>
      <c r="IH29">
        <v>1.86226</v>
      </c>
      <c r="II29">
        <v>1.8645099999999999</v>
      </c>
      <c r="IJ29">
        <v>1.86067</v>
      </c>
      <c r="IK29">
        <v>1.8631</v>
      </c>
      <c r="IL29">
        <v>1.86063</v>
      </c>
      <c r="IM29">
        <v>0</v>
      </c>
      <c r="IN29">
        <v>0</v>
      </c>
      <c r="IO29">
        <v>0</v>
      </c>
      <c r="IP29">
        <v>0</v>
      </c>
      <c r="IQ29" t="s">
        <v>443</v>
      </c>
      <c r="IR29" t="s">
        <v>444</v>
      </c>
      <c r="IS29" t="s">
        <v>445</v>
      </c>
      <c r="IT29" t="s">
        <v>445</v>
      </c>
      <c r="IU29" t="s">
        <v>445</v>
      </c>
      <c r="IV29" t="s">
        <v>445</v>
      </c>
      <c r="IW29">
        <v>0</v>
      </c>
      <c r="IX29">
        <v>100</v>
      </c>
      <c r="IY29">
        <v>100</v>
      </c>
      <c r="IZ29">
        <v>-2.0009999999999999</v>
      </c>
      <c r="JA29">
        <v>-1.2699999999999999E-2</v>
      </c>
      <c r="JB29">
        <v>-1.140465381763482</v>
      </c>
      <c r="JC29">
        <v>-2.4932477295996069E-3</v>
      </c>
      <c r="JD29">
        <v>1.159696634280317E-6</v>
      </c>
      <c r="JE29">
        <v>-3.5013845820821591E-10</v>
      </c>
      <c r="JF29">
        <v>-8.6309180691159976E-2</v>
      </c>
      <c r="JG29">
        <v>-7.5935071553627593E-3</v>
      </c>
      <c r="JH29">
        <v>1.367325239740887E-3</v>
      </c>
      <c r="JI29">
        <v>-2.2944115828177239E-5</v>
      </c>
      <c r="JJ29">
        <v>2</v>
      </c>
      <c r="JK29">
        <v>2118</v>
      </c>
      <c r="JL29">
        <v>1</v>
      </c>
      <c r="JM29">
        <v>27</v>
      </c>
      <c r="JN29">
        <v>-799462.7</v>
      </c>
      <c r="JO29">
        <v>-799462.8</v>
      </c>
      <c r="JP29">
        <v>1.25</v>
      </c>
      <c r="JQ29">
        <v>2.4523899999999998</v>
      </c>
      <c r="JR29">
        <v>2.19604</v>
      </c>
      <c r="JS29">
        <v>2.7075200000000001</v>
      </c>
      <c r="JT29">
        <v>2.1496599999999999</v>
      </c>
      <c r="JU29">
        <v>2.3864700000000001</v>
      </c>
      <c r="JV29">
        <v>26.581900000000001</v>
      </c>
      <c r="JW29">
        <v>14.78</v>
      </c>
      <c r="JX29">
        <v>18</v>
      </c>
      <c r="JY29">
        <v>696.57299999999998</v>
      </c>
      <c r="JZ29">
        <v>777.31100000000004</v>
      </c>
      <c r="KA29">
        <v>19.903500000000001</v>
      </c>
      <c r="KB29">
        <v>20.4068</v>
      </c>
      <c r="KC29">
        <v>30.0016</v>
      </c>
      <c r="KD29">
        <v>20.218299999999999</v>
      </c>
      <c r="KE29">
        <v>20.104700000000001</v>
      </c>
      <c r="KF29">
        <v>25.101199999999999</v>
      </c>
      <c r="KG29">
        <v>41.444699999999997</v>
      </c>
      <c r="KH29">
        <v>43.043900000000001</v>
      </c>
      <c r="KI29">
        <v>-999.9</v>
      </c>
      <c r="KJ29">
        <v>400</v>
      </c>
      <c r="KK29">
        <v>12.156499999999999</v>
      </c>
      <c r="KL29">
        <v>102.21599999999999</v>
      </c>
      <c r="KM29">
        <v>102.22799999999999</v>
      </c>
    </row>
    <row r="30" spans="1:299" x14ac:dyDescent="0.2">
      <c r="A30">
        <v>14</v>
      </c>
      <c r="B30" t="s">
        <v>538</v>
      </c>
      <c r="C30">
        <v>14</v>
      </c>
      <c r="D30">
        <v>1707840422.5</v>
      </c>
      <c r="E30">
        <v>3495.5</v>
      </c>
      <c r="F30" t="s">
        <v>471</v>
      </c>
      <c r="G30" t="s">
        <v>472</v>
      </c>
      <c r="H30" t="s">
        <v>436</v>
      </c>
      <c r="I30" t="s">
        <v>437</v>
      </c>
      <c r="J30" t="s">
        <v>438</v>
      </c>
      <c r="M30" t="s">
        <v>438</v>
      </c>
      <c r="O30">
        <v>1707840422.5</v>
      </c>
      <c r="P30">
        <f t="shared" si="0"/>
        <v>3.9881930807076569E-4</v>
      </c>
      <c r="Q30">
        <f t="shared" si="1"/>
        <v>0.39881930807076571</v>
      </c>
      <c r="R30">
        <f t="shared" si="2"/>
        <v>2.9877049267794114</v>
      </c>
      <c r="S30">
        <f t="shared" si="3"/>
        <v>418.62200000000001</v>
      </c>
      <c r="T30">
        <f t="shared" si="4"/>
        <v>255.07538345347314</v>
      </c>
      <c r="U30">
        <f t="shared" si="5"/>
        <v>26.034089260556016</v>
      </c>
      <c r="V30">
        <f t="shared" si="6"/>
        <v>42.726359427076595</v>
      </c>
      <c r="W30">
        <f t="shared" si="7"/>
        <v>3.0693816499900557E-2</v>
      </c>
      <c r="X30">
        <f t="shared" si="8"/>
        <v>2.9642760105798263</v>
      </c>
      <c r="Y30">
        <f t="shared" si="9"/>
        <v>3.0518338916094474E-2</v>
      </c>
      <c r="Z30">
        <f t="shared" si="10"/>
        <v>1.9089644010154314E-2</v>
      </c>
      <c r="AA30">
        <f t="shared" si="11"/>
        <v>247.63050469079346</v>
      </c>
      <c r="AB30">
        <f t="shared" si="12"/>
        <v>23.666095761424984</v>
      </c>
      <c r="AC30">
        <f t="shared" si="13"/>
        <v>21.870799999999999</v>
      </c>
      <c r="AD30">
        <f t="shared" si="14"/>
        <v>2.6326703956360658</v>
      </c>
      <c r="AE30">
        <f t="shared" si="15"/>
        <v>48.95987097512775</v>
      </c>
      <c r="AF30">
        <f t="shared" si="16"/>
        <v>1.3247333144168199</v>
      </c>
      <c r="AG30">
        <f t="shared" si="17"/>
        <v>2.7057532792310699</v>
      </c>
      <c r="AH30">
        <f t="shared" si="18"/>
        <v>1.3079370812192459</v>
      </c>
      <c r="AI30">
        <f t="shared" si="19"/>
        <v>-17.587931485920766</v>
      </c>
      <c r="AJ30">
        <f t="shared" si="20"/>
        <v>71.802654693273297</v>
      </c>
      <c r="AK30">
        <f t="shared" si="21"/>
        <v>4.9753181967097069</v>
      </c>
      <c r="AL30">
        <f t="shared" si="22"/>
        <v>306.82054609485567</v>
      </c>
      <c r="AM30">
        <f t="shared" si="23"/>
        <v>-21.614395299026658</v>
      </c>
      <c r="AN30">
        <f t="shared" si="24"/>
        <v>-0.34045100983707971</v>
      </c>
      <c r="AO30">
        <f t="shared" si="25"/>
        <v>2.9877049267794114</v>
      </c>
      <c r="AP30">
        <v>405.34204129136668</v>
      </c>
      <c r="AQ30">
        <v>426.56602424242402</v>
      </c>
      <c r="AR30">
        <v>-5.9951616733003226</v>
      </c>
      <c r="AS30">
        <v>66.994286664326381</v>
      </c>
      <c r="AT30">
        <f t="shared" si="26"/>
        <v>0.39881930807076571</v>
      </c>
      <c r="AU30">
        <v>13.265629573213349</v>
      </c>
      <c r="AV30">
        <v>12.93598848484848</v>
      </c>
      <c r="AW30">
        <v>0.1432929787366064</v>
      </c>
      <c r="AX30">
        <v>78.493867184172203</v>
      </c>
      <c r="AY30">
        <v>0</v>
      </c>
      <c r="AZ30">
        <v>0</v>
      </c>
      <c r="BA30">
        <f t="shared" si="27"/>
        <v>1</v>
      </c>
      <c r="BB30">
        <f t="shared" si="28"/>
        <v>0</v>
      </c>
      <c r="BC30">
        <f t="shared" si="29"/>
        <v>54785.592748842966</v>
      </c>
      <c r="BD30" t="s">
        <v>439</v>
      </c>
      <c r="BE30" t="s">
        <v>439</v>
      </c>
      <c r="BF30">
        <v>0</v>
      </c>
      <c r="BG30">
        <v>0</v>
      </c>
      <c r="BH30" t="e">
        <f t="shared" si="30"/>
        <v>#DIV/0!</v>
      </c>
      <c r="BI30">
        <v>0</v>
      </c>
      <c r="BJ30" t="s">
        <v>439</v>
      </c>
      <c r="BK30" t="s">
        <v>439</v>
      </c>
      <c r="BL30">
        <v>0</v>
      </c>
      <c r="BM30">
        <v>0</v>
      </c>
      <c r="BN30" t="e">
        <f t="shared" si="31"/>
        <v>#DIV/0!</v>
      </c>
      <c r="BO30">
        <v>0.5</v>
      </c>
      <c r="BP30">
        <f t="shared" si="32"/>
        <v>1092.3525023453967</v>
      </c>
      <c r="BQ30">
        <f t="shared" si="33"/>
        <v>2.9877049267794114</v>
      </c>
      <c r="BR30" t="e">
        <f t="shared" si="34"/>
        <v>#DIV/0!</v>
      </c>
      <c r="BS30">
        <f t="shared" si="35"/>
        <v>2.7351106170988688E-3</v>
      </c>
      <c r="BT30" t="e">
        <f t="shared" si="36"/>
        <v>#DIV/0!</v>
      </c>
      <c r="BU30" t="e">
        <f t="shared" si="37"/>
        <v>#DIV/0!</v>
      </c>
      <c r="BV30" t="s">
        <v>439</v>
      </c>
      <c r="BW30">
        <v>0</v>
      </c>
      <c r="BX30" t="e">
        <f t="shared" si="38"/>
        <v>#DIV/0!</v>
      </c>
      <c r="BY30" t="e">
        <f t="shared" si="39"/>
        <v>#DIV/0!</v>
      </c>
      <c r="BZ30" t="e">
        <f t="shared" si="40"/>
        <v>#DIV/0!</v>
      </c>
      <c r="CA30" t="e">
        <f t="shared" si="41"/>
        <v>#DIV/0!</v>
      </c>
      <c r="CB30" t="e">
        <f t="shared" si="42"/>
        <v>#DIV/0!</v>
      </c>
      <c r="CC30" t="e">
        <f t="shared" si="43"/>
        <v>#DIV/0!</v>
      </c>
      <c r="CD30" t="e">
        <f t="shared" si="44"/>
        <v>#DIV/0!</v>
      </c>
      <c r="CE30" t="e">
        <f t="shared" si="45"/>
        <v>#DIV/0!</v>
      </c>
      <c r="DN30">
        <f t="shared" si="46"/>
        <v>1300.05</v>
      </c>
      <c r="DO30">
        <f t="shared" si="47"/>
        <v>1092.3525023453967</v>
      </c>
      <c r="DP30">
        <f t="shared" si="48"/>
        <v>0.84023883877189087</v>
      </c>
      <c r="DQ30">
        <f t="shared" si="49"/>
        <v>0.19047767754378175</v>
      </c>
      <c r="DR30">
        <v>6</v>
      </c>
      <c r="DS30">
        <v>0.5</v>
      </c>
      <c r="DT30" t="s">
        <v>440</v>
      </c>
      <c r="DU30">
        <v>2</v>
      </c>
      <c r="DV30" t="b">
        <v>1</v>
      </c>
      <c r="DW30">
        <v>1707840422.5</v>
      </c>
      <c r="DX30">
        <v>418.62200000000001</v>
      </c>
      <c r="DY30">
        <v>399.97500000000002</v>
      </c>
      <c r="DZ30">
        <v>12.9794</v>
      </c>
      <c r="EA30">
        <v>13.2674</v>
      </c>
      <c r="EB30">
        <v>420.63200000000001</v>
      </c>
      <c r="EC30">
        <v>12.984</v>
      </c>
      <c r="ED30">
        <v>700.06700000000001</v>
      </c>
      <c r="EE30">
        <v>101.988</v>
      </c>
      <c r="EF30">
        <v>7.6295299999999996E-2</v>
      </c>
      <c r="EG30">
        <v>22.3201</v>
      </c>
      <c r="EH30">
        <v>21.870799999999999</v>
      </c>
      <c r="EI30">
        <v>999.9</v>
      </c>
      <c r="EJ30">
        <v>0</v>
      </c>
      <c r="EK30">
        <v>0</v>
      </c>
      <c r="EL30">
        <v>10000.5</v>
      </c>
      <c r="EM30">
        <v>0</v>
      </c>
      <c r="EN30">
        <v>1.91117E-3</v>
      </c>
      <c r="EO30">
        <v>18.646799999999999</v>
      </c>
      <c r="EP30">
        <v>424.12700000000001</v>
      </c>
      <c r="EQ30">
        <v>405.35300000000001</v>
      </c>
      <c r="ER30">
        <v>-0.288076</v>
      </c>
      <c r="ES30">
        <v>399.97500000000002</v>
      </c>
      <c r="ET30">
        <v>13.2674</v>
      </c>
      <c r="EU30">
        <v>1.3237399999999999</v>
      </c>
      <c r="EV30">
        <v>1.3531299999999999</v>
      </c>
      <c r="EW30">
        <v>11.071199999999999</v>
      </c>
      <c r="EX30">
        <v>11.4023</v>
      </c>
      <c r="EY30">
        <v>1300.05</v>
      </c>
      <c r="EZ30">
        <v>0.992004</v>
      </c>
      <c r="FA30">
        <v>7.9957699999999993E-3</v>
      </c>
      <c r="FB30">
        <v>0</v>
      </c>
      <c r="FC30">
        <v>693.36900000000003</v>
      </c>
      <c r="FD30">
        <v>5.0001800000000003</v>
      </c>
      <c r="FE30">
        <v>11580.7</v>
      </c>
      <c r="FF30">
        <v>11146.1</v>
      </c>
      <c r="FG30">
        <v>38.936999999999998</v>
      </c>
      <c r="FH30">
        <v>39.811999999999998</v>
      </c>
      <c r="FI30">
        <v>39.625</v>
      </c>
      <c r="FJ30">
        <v>40.936999999999998</v>
      </c>
      <c r="FK30">
        <v>40.125</v>
      </c>
      <c r="FL30">
        <v>1284.69</v>
      </c>
      <c r="FM30">
        <v>10.35</v>
      </c>
      <c r="FN30">
        <v>0</v>
      </c>
      <c r="FO30">
        <v>1685734831.9000001</v>
      </c>
      <c r="FP30">
        <v>0</v>
      </c>
      <c r="FQ30">
        <v>543.30123600000002</v>
      </c>
      <c r="FR30">
        <v>2907.9810015986309</v>
      </c>
      <c r="FS30">
        <v>-2854857.028398315</v>
      </c>
      <c r="FT30">
        <v>193522.90160000001</v>
      </c>
      <c r="FU30">
        <v>15</v>
      </c>
      <c r="FV30">
        <v>0</v>
      </c>
      <c r="FW30" t="s">
        <v>441</v>
      </c>
      <c r="FX30">
        <v>1755807717.5</v>
      </c>
      <c r="FY30">
        <v>1755807720.5</v>
      </c>
      <c r="FZ30">
        <v>0</v>
      </c>
      <c r="GA30">
        <v>-0.11700000000000001</v>
      </c>
      <c r="GB30">
        <v>-1.6E-2</v>
      </c>
      <c r="GC30">
        <v>-2.0089999999999999</v>
      </c>
      <c r="GD30">
        <v>0.03</v>
      </c>
      <c r="GE30">
        <v>420</v>
      </c>
      <c r="GF30">
        <v>15</v>
      </c>
      <c r="GG30">
        <v>0.09</v>
      </c>
      <c r="GH30">
        <v>0.01</v>
      </c>
      <c r="GI30">
        <v>-47.331146091452332</v>
      </c>
      <c r="GJ30">
        <v>-214.69282280950071</v>
      </c>
      <c r="GK30">
        <v>69.231116108024608</v>
      </c>
      <c r="GL30">
        <v>0</v>
      </c>
      <c r="GM30">
        <v>-6.7312257415904964E-2</v>
      </c>
      <c r="GN30">
        <v>-0.32544848227192669</v>
      </c>
      <c r="GO30">
        <v>9.3433433596381982E-2</v>
      </c>
      <c r="GP30">
        <v>0</v>
      </c>
      <c r="GQ30">
        <v>0</v>
      </c>
      <c r="GR30">
        <v>2</v>
      </c>
      <c r="GS30" t="s">
        <v>442</v>
      </c>
      <c r="GT30">
        <v>3.36633</v>
      </c>
      <c r="GU30">
        <v>2.7705199999999999</v>
      </c>
      <c r="GV30">
        <v>0.101914</v>
      </c>
      <c r="GW30">
        <v>9.7839499999999996E-2</v>
      </c>
      <c r="GX30">
        <v>7.5824299999999997E-2</v>
      </c>
      <c r="GY30">
        <v>7.6315900000000006E-2</v>
      </c>
      <c r="GZ30">
        <v>21352.5</v>
      </c>
      <c r="HA30">
        <v>22079.7</v>
      </c>
      <c r="HB30">
        <v>25224.2</v>
      </c>
      <c r="HC30">
        <v>25876</v>
      </c>
      <c r="HD30">
        <v>35468.1</v>
      </c>
      <c r="HE30">
        <v>35681.699999999997</v>
      </c>
      <c r="HF30">
        <v>42210.9</v>
      </c>
      <c r="HG30">
        <v>41815</v>
      </c>
      <c r="HH30">
        <v>2.4899200000000001</v>
      </c>
      <c r="HI30">
        <v>2.47844</v>
      </c>
      <c r="HJ30">
        <v>5.0100699999999998E-2</v>
      </c>
      <c r="HK30">
        <v>0</v>
      </c>
      <c r="HL30">
        <v>21.044</v>
      </c>
      <c r="HM30">
        <v>999.9</v>
      </c>
      <c r="HN30">
        <v>66.2</v>
      </c>
      <c r="HO30">
        <v>22.7</v>
      </c>
      <c r="HP30">
        <v>17.973700000000001</v>
      </c>
      <c r="HQ30">
        <v>60.954700000000003</v>
      </c>
      <c r="HR30">
        <v>7.9166600000000003</v>
      </c>
      <c r="HS30">
        <v>2</v>
      </c>
      <c r="HT30">
        <v>-0.51934100000000005</v>
      </c>
      <c r="HU30">
        <v>0</v>
      </c>
      <c r="HV30">
        <v>20.370100000000001</v>
      </c>
      <c r="HW30">
        <v>5.2061500000000001</v>
      </c>
      <c r="HX30">
        <v>11.914</v>
      </c>
      <c r="HY30">
        <v>4.9923599999999997</v>
      </c>
      <c r="HZ30">
        <v>3.28138</v>
      </c>
      <c r="IA30">
        <v>9999</v>
      </c>
      <c r="IB30">
        <v>9999</v>
      </c>
      <c r="IC30">
        <v>9999</v>
      </c>
      <c r="ID30">
        <v>149.5</v>
      </c>
      <c r="IE30">
        <v>4.97194</v>
      </c>
      <c r="IF30">
        <v>1.85791</v>
      </c>
      <c r="IG30">
        <v>1.8672200000000001</v>
      </c>
      <c r="IH30">
        <v>1.8623499999999999</v>
      </c>
      <c r="II30">
        <v>1.8646199999999999</v>
      </c>
      <c r="IJ30">
        <v>1.8608100000000001</v>
      </c>
      <c r="IK30">
        <v>1.86311</v>
      </c>
      <c r="IL30">
        <v>1.8607</v>
      </c>
      <c r="IM30">
        <v>0</v>
      </c>
      <c r="IN30">
        <v>0</v>
      </c>
      <c r="IO30">
        <v>0</v>
      </c>
      <c r="IP30">
        <v>0</v>
      </c>
      <c r="IQ30" t="s">
        <v>443</v>
      </c>
      <c r="IR30" t="s">
        <v>444</v>
      </c>
      <c r="IS30" t="s">
        <v>445</v>
      </c>
      <c r="IT30" t="s">
        <v>445</v>
      </c>
      <c r="IU30" t="s">
        <v>445</v>
      </c>
      <c r="IV30" t="s">
        <v>445</v>
      </c>
      <c r="IW30">
        <v>0</v>
      </c>
      <c r="IX30">
        <v>100</v>
      </c>
      <c r="IY30">
        <v>100</v>
      </c>
      <c r="IZ30">
        <v>-2.0099999999999998</v>
      </c>
      <c r="JA30">
        <v>-4.5999999999999999E-3</v>
      </c>
      <c r="JB30">
        <v>-1.140465381763482</v>
      </c>
      <c r="JC30">
        <v>-2.4932477295996069E-3</v>
      </c>
      <c r="JD30">
        <v>1.159696634280317E-6</v>
      </c>
      <c r="JE30">
        <v>-3.5013845820821591E-10</v>
      </c>
      <c r="JF30">
        <v>-8.6309180691159976E-2</v>
      </c>
      <c r="JG30">
        <v>-7.5935071553627593E-3</v>
      </c>
      <c r="JH30">
        <v>1.367325239740887E-3</v>
      </c>
      <c r="JI30">
        <v>-2.2944115828177239E-5</v>
      </c>
      <c r="JJ30">
        <v>2</v>
      </c>
      <c r="JK30">
        <v>2118</v>
      </c>
      <c r="JL30">
        <v>1</v>
      </c>
      <c r="JM30">
        <v>27</v>
      </c>
      <c r="JN30">
        <v>-799454.9</v>
      </c>
      <c r="JO30">
        <v>-799455</v>
      </c>
      <c r="JP30">
        <v>1.25732</v>
      </c>
      <c r="JQ30">
        <v>2.4560499999999998</v>
      </c>
      <c r="JR30">
        <v>2.19604</v>
      </c>
      <c r="JS30">
        <v>2.7002000000000002</v>
      </c>
      <c r="JT30">
        <v>2.1496599999999999</v>
      </c>
      <c r="JU30">
        <v>2.4462899999999999</v>
      </c>
      <c r="JV30">
        <v>27.703700000000001</v>
      </c>
      <c r="JW30">
        <v>14.6837</v>
      </c>
      <c r="JX30">
        <v>18</v>
      </c>
      <c r="JY30">
        <v>705.14</v>
      </c>
      <c r="JZ30">
        <v>778.81899999999996</v>
      </c>
      <c r="KA30">
        <v>21.0761</v>
      </c>
      <c r="KB30">
        <v>20.628599999999999</v>
      </c>
      <c r="KC30">
        <v>30</v>
      </c>
      <c r="KD30">
        <v>20.6159</v>
      </c>
      <c r="KE30">
        <v>20.5869</v>
      </c>
      <c r="KF30">
        <v>25.243500000000001</v>
      </c>
      <c r="KG30">
        <v>31.358799999999999</v>
      </c>
      <c r="KH30">
        <v>34.0473</v>
      </c>
      <c r="KI30">
        <v>-999.9</v>
      </c>
      <c r="KJ30">
        <v>400</v>
      </c>
      <c r="KK30">
        <v>13.344200000000001</v>
      </c>
      <c r="KL30">
        <v>102.288</v>
      </c>
      <c r="KM30">
        <v>102.303</v>
      </c>
    </row>
    <row r="31" spans="1:299" x14ac:dyDescent="0.2">
      <c r="A31">
        <v>15</v>
      </c>
      <c r="B31" t="s">
        <v>538</v>
      </c>
      <c r="C31">
        <v>15</v>
      </c>
      <c r="D31">
        <v>1707840931</v>
      </c>
      <c r="E31">
        <v>4004</v>
      </c>
      <c r="F31" t="s">
        <v>473</v>
      </c>
      <c r="G31" t="s">
        <v>474</v>
      </c>
      <c r="H31" t="s">
        <v>436</v>
      </c>
      <c r="I31" t="s">
        <v>437</v>
      </c>
      <c r="J31" t="s">
        <v>438</v>
      </c>
      <c r="M31" t="s">
        <v>438</v>
      </c>
      <c r="O31">
        <v>1707840931</v>
      </c>
      <c r="P31">
        <f t="shared" si="0"/>
        <v>1.4352056062606968E-3</v>
      </c>
      <c r="Q31">
        <f t="shared" si="1"/>
        <v>1.4352056062606968</v>
      </c>
      <c r="R31">
        <f t="shared" si="2"/>
        <v>-22.591293296289987</v>
      </c>
      <c r="S31">
        <f t="shared" si="3"/>
        <v>448.71800000000002</v>
      </c>
      <c r="T31">
        <f t="shared" si="4"/>
        <v>801.44587397760404</v>
      </c>
      <c r="U31">
        <f t="shared" si="5"/>
        <v>81.804575993103285</v>
      </c>
      <c r="V31">
        <f t="shared" si="6"/>
        <v>45.801203702371403</v>
      </c>
      <c r="W31">
        <f t="shared" si="7"/>
        <v>9.9982469652004996E-2</v>
      </c>
      <c r="X31">
        <f t="shared" si="8"/>
        <v>2.9658259399345597</v>
      </c>
      <c r="Y31">
        <f t="shared" si="9"/>
        <v>9.8147025100949095E-2</v>
      </c>
      <c r="Z31">
        <f t="shared" si="10"/>
        <v>6.1503991593612486E-2</v>
      </c>
      <c r="AA31">
        <f t="shared" si="11"/>
        <v>247.477199913882</v>
      </c>
      <c r="AB31">
        <f t="shared" si="12"/>
        <v>22.945271838852804</v>
      </c>
      <c r="AC31">
        <f t="shared" si="13"/>
        <v>21.7179</v>
      </c>
      <c r="AD31">
        <f t="shared" si="14"/>
        <v>2.6081969393479056</v>
      </c>
      <c r="AE31">
        <f t="shared" si="15"/>
        <v>43.425259770390944</v>
      </c>
      <c r="AF31">
        <f t="shared" si="16"/>
        <v>1.1430345997723197</v>
      </c>
      <c r="AG31">
        <f t="shared" si="17"/>
        <v>2.6321882835383423</v>
      </c>
      <c r="AH31">
        <f t="shared" si="18"/>
        <v>1.4651623395755859</v>
      </c>
      <c r="AI31">
        <f t="shared" si="19"/>
        <v>-63.29256723609673</v>
      </c>
      <c r="AJ31">
        <f t="shared" si="20"/>
        <v>23.968051850255236</v>
      </c>
      <c r="AK31">
        <f t="shared" si="21"/>
        <v>1.6548138591920838</v>
      </c>
      <c r="AL31">
        <f t="shared" si="22"/>
        <v>209.80749838723256</v>
      </c>
      <c r="AM31">
        <f t="shared" si="23"/>
        <v>-57.376335620264882</v>
      </c>
      <c r="AN31">
        <f t="shared" si="24"/>
        <v>1.6874027234583748</v>
      </c>
      <c r="AO31">
        <f t="shared" si="25"/>
        <v>-22.591293296289987</v>
      </c>
      <c r="AP31">
        <v>403.89148215912007</v>
      </c>
      <c r="AQ31">
        <v>458.87167272727248</v>
      </c>
      <c r="AR31">
        <v>-8.8355360877385305</v>
      </c>
      <c r="AS31">
        <v>67.018983759403838</v>
      </c>
      <c r="AT31">
        <f t="shared" si="26"/>
        <v>1.4352056062606968</v>
      </c>
      <c r="AU31">
        <v>9.7657621652922764</v>
      </c>
      <c r="AV31">
        <v>11.27087151515151</v>
      </c>
      <c r="AW31">
        <v>-6.0424785679422499E-2</v>
      </c>
      <c r="AX31">
        <v>78.56027912017835</v>
      </c>
      <c r="AY31">
        <v>42</v>
      </c>
      <c r="AZ31">
        <v>6</v>
      </c>
      <c r="BA31">
        <f t="shared" si="27"/>
        <v>1</v>
      </c>
      <c r="BB31">
        <f t="shared" si="28"/>
        <v>0</v>
      </c>
      <c r="BC31">
        <f t="shared" si="29"/>
        <v>54916.030119865034</v>
      </c>
      <c r="BD31" t="s">
        <v>439</v>
      </c>
      <c r="BE31" t="s">
        <v>439</v>
      </c>
      <c r="BF31">
        <v>0</v>
      </c>
      <c r="BG31">
        <v>0</v>
      </c>
      <c r="BH31" t="e">
        <f t="shared" si="30"/>
        <v>#DIV/0!</v>
      </c>
      <c r="BI31">
        <v>0</v>
      </c>
      <c r="BJ31" t="s">
        <v>439</v>
      </c>
      <c r="BK31" t="s">
        <v>439</v>
      </c>
      <c r="BL31">
        <v>0</v>
      </c>
      <c r="BM31">
        <v>0</v>
      </c>
      <c r="BN31" t="e">
        <f t="shared" si="31"/>
        <v>#DIV/0!</v>
      </c>
      <c r="BO31">
        <v>0.5</v>
      </c>
      <c r="BP31">
        <f t="shared" si="32"/>
        <v>1091.672399956941</v>
      </c>
      <c r="BQ31">
        <f t="shared" si="33"/>
        <v>-22.591293296289987</v>
      </c>
      <c r="BR31" t="e">
        <f t="shared" si="34"/>
        <v>#DIV/0!</v>
      </c>
      <c r="BS31">
        <f t="shared" si="35"/>
        <v>-2.0694205786627066E-2</v>
      </c>
      <c r="BT31" t="e">
        <f t="shared" si="36"/>
        <v>#DIV/0!</v>
      </c>
      <c r="BU31" t="e">
        <f t="shared" si="37"/>
        <v>#DIV/0!</v>
      </c>
      <c r="BV31" t="s">
        <v>439</v>
      </c>
      <c r="BW31">
        <v>0</v>
      </c>
      <c r="BX31" t="e">
        <f t="shared" si="38"/>
        <v>#DIV/0!</v>
      </c>
      <c r="BY31" t="e">
        <f t="shared" si="39"/>
        <v>#DIV/0!</v>
      </c>
      <c r="BZ31" t="e">
        <f t="shared" si="40"/>
        <v>#DIV/0!</v>
      </c>
      <c r="CA31" t="e">
        <f t="shared" si="41"/>
        <v>#DIV/0!</v>
      </c>
      <c r="CB31" t="e">
        <f t="shared" si="42"/>
        <v>#DIV/0!</v>
      </c>
      <c r="CC31" t="e">
        <f t="shared" si="43"/>
        <v>#DIV/0!</v>
      </c>
      <c r="CD31" t="e">
        <f t="shared" si="44"/>
        <v>#DIV/0!</v>
      </c>
      <c r="CE31" t="e">
        <f t="shared" si="45"/>
        <v>#DIV/0!</v>
      </c>
      <c r="DN31">
        <f t="shared" si="46"/>
        <v>1299.24</v>
      </c>
      <c r="DO31">
        <f t="shared" si="47"/>
        <v>1091.672399956941</v>
      </c>
      <c r="DP31">
        <f t="shared" si="48"/>
        <v>0.840239216739741</v>
      </c>
      <c r="DQ31">
        <f t="shared" si="49"/>
        <v>0.19047843347948185</v>
      </c>
      <c r="DR31">
        <v>6</v>
      </c>
      <c r="DS31">
        <v>0.5</v>
      </c>
      <c r="DT31" t="s">
        <v>440</v>
      </c>
      <c r="DU31">
        <v>2</v>
      </c>
      <c r="DV31" t="b">
        <v>1</v>
      </c>
      <c r="DW31">
        <v>1707840931</v>
      </c>
      <c r="DX31">
        <v>448.71800000000002</v>
      </c>
      <c r="DY31">
        <v>399.96699999999998</v>
      </c>
      <c r="DZ31">
        <v>11.198399999999999</v>
      </c>
      <c r="EA31">
        <v>9.7617600000000007</v>
      </c>
      <c r="EB31">
        <v>450.779</v>
      </c>
      <c r="EC31">
        <v>11.2301</v>
      </c>
      <c r="ED31">
        <v>696.83699999999999</v>
      </c>
      <c r="EE31">
        <v>101.996</v>
      </c>
      <c r="EF31">
        <v>7.5242299999999998E-2</v>
      </c>
      <c r="EG31">
        <v>21.867799999999999</v>
      </c>
      <c r="EH31">
        <v>21.7179</v>
      </c>
      <c r="EI31">
        <v>999.9</v>
      </c>
      <c r="EJ31">
        <v>0</v>
      </c>
      <c r="EK31">
        <v>0</v>
      </c>
      <c r="EL31">
        <v>10008.5</v>
      </c>
      <c r="EM31">
        <v>0</v>
      </c>
      <c r="EN31">
        <v>1.91117E-3</v>
      </c>
      <c r="EO31">
        <v>48.751300000000001</v>
      </c>
      <c r="EP31">
        <v>453.8</v>
      </c>
      <c r="EQ31">
        <v>403.90899999999999</v>
      </c>
      <c r="ER31">
        <v>1.43669</v>
      </c>
      <c r="ES31">
        <v>399.96699999999998</v>
      </c>
      <c r="ET31">
        <v>9.7617600000000007</v>
      </c>
      <c r="EU31">
        <v>1.1422000000000001</v>
      </c>
      <c r="EV31">
        <v>0.99566299999999996</v>
      </c>
      <c r="EW31">
        <v>8.8687900000000006</v>
      </c>
      <c r="EX31">
        <v>6.8530699999999998</v>
      </c>
      <c r="EY31">
        <v>1299.24</v>
      </c>
      <c r="EZ31">
        <v>0.99199199999999998</v>
      </c>
      <c r="FA31">
        <v>8.0080299999999993E-3</v>
      </c>
      <c r="FB31">
        <v>0</v>
      </c>
      <c r="FC31">
        <v>673.26099999999997</v>
      </c>
      <c r="FD31">
        <v>5.0001800000000003</v>
      </c>
      <c r="FE31">
        <v>13349.9</v>
      </c>
      <c r="FF31">
        <v>11139.1</v>
      </c>
      <c r="FG31">
        <v>40.125</v>
      </c>
      <c r="FH31">
        <v>40.25</v>
      </c>
      <c r="FI31">
        <v>40.811999999999998</v>
      </c>
      <c r="FJ31">
        <v>41.311999999999998</v>
      </c>
      <c r="FK31">
        <v>41</v>
      </c>
      <c r="FL31">
        <v>1283.8800000000001</v>
      </c>
      <c r="FM31">
        <v>10.36</v>
      </c>
      <c r="FN31">
        <v>0</v>
      </c>
      <c r="FO31">
        <v>1685735340.7</v>
      </c>
      <c r="FP31">
        <v>0</v>
      </c>
      <c r="FQ31">
        <v>290.255312</v>
      </c>
      <c r="FR31">
        <v>3975.8907722575409</v>
      </c>
      <c r="FS31">
        <v>-1608421.552533346</v>
      </c>
      <c r="FT31">
        <v>292254.41600000003</v>
      </c>
      <c r="FU31">
        <v>15</v>
      </c>
      <c r="FV31">
        <v>0</v>
      </c>
      <c r="FW31" t="s">
        <v>441</v>
      </c>
      <c r="FX31">
        <v>1755807717.5</v>
      </c>
      <c r="FY31">
        <v>1755807720.5</v>
      </c>
      <c r="FZ31">
        <v>0</v>
      </c>
      <c r="GA31">
        <v>-0.11700000000000001</v>
      </c>
      <c r="GB31">
        <v>-1.6E-2</v>
      </c>
      <c r="GC31">
        <v>-2.0089999999999999</v>
      </c>
      <c r="GD31">
        <v>0.03</v>
      </c>
      <c r="GE31">
        <v>420</v>
      </c>
      <c r="GF31">
        <v>15</v>
      </c>
      <c r="GG31">
        <v>0.09</v>
      </c>
      <c r="GH31">
        <v>0.01</v>
      </c>
      <c r="GI31">
        <v>-92.432146644096946</v>
      </c>
      <c r="GJ31">
        <v>18.11563002892099</v>
      </c>
      <c r="GK31">
        <v>4.569272471001339</v>
      </c>
      <c r="GL31">
        <v>0</v>
      </c>
      <c r="GM31">
        <v>0.15916917580499951</v>
      </c>
      <c r="GN31">
        <v>5.1203118792950038E-2</v>
      </c>
      <c r="GO31">
        <v>1.084340062398874E-2</v>
      </c>
      <c r="GP31">
        <v>0</v>
      </c>
      <c r="GQ31">
        <v>0</v>
      </c>
      <c r="GR31">
        <v>2</v>
      </c>
      <c r="GS31" t="s">
        <v>442</v>
      </c>
      <c r="GT31">
        <v>3.3612799999999998</v>
      </c>
      <c r="GU31">
        <v>2.7694999999999999</v>
      </c>
      <c r="GV31">
        <v>0.107309</v>
      </c>
      <c r="GW31">
        <v>9.7831299999999996E-2</v>
      </c>
      <c r="GX31">
        <v>6.7908999999999997E-2</v>
      </c>
      <c r="GY31">
        <v>6.04798E-2</v>
      </c>
      <c r="GZ31">
        <v>21227.5</v>
      </c>
      <c r="HA31">
        <v>22083.200000000001</v>
      </c>
      <c r="HB31">
        <v>25228</v>
      </c>
      <c r="HC31">
        <v>25880.400000000001</v>
      </c>
      <c r="HD31">
        <v>35781.5</v>
      </c>
      <c r="HE31">
        <v>36302.6</v>
      </c>
      <c r="HF31">
        <v>42218.400000000001</v>
      </c>
      <c r="HG31">
        <v>41823.699999999997</v>
      </c>
      <c r="HH31">
        <v>2.39316</v>
      </c>
      <c r="HI31">
        <v>2.4714999999999998</v>
      </c>
      <c r="HJ31">
        <v>2.1010600000000001E-2</v>
      </c>
      <c r="HK31">
        <v>0</v>
      </c>
      <c r="HL31">
        <v>21.371300000000002</v>
      </c>
      <c r="HM31">
        <v>999.9</v>
      </c>
      <c r="HN31">
        <v>58.7</v>
      </c>
      <c r="HO31">
        <v>23.8</v>
      </c>
      <c r="HP31">
        <v>17.0319</v>
      </c>
      <c r="HQ31">
        <v>60.814700000000002</v>
      </c>
      <c r="HR31">
        <v>8.4014399999999991</v>
      </c>
      <c r="HS31">
        <v>2</v>
      </c>
      <c r="HT31">
        <v>-0.52061800000000003</v>
      </c>
      <c r="HU31">
        <v>0</v>
      </c>
      <c r="HV31">
        <v>20.3674</v>
      </c>
      <c r="HW31">
        <v>5.2039900000000001</v>
      </c>
      <c r="HX31">
        <v>11.9132</v>
      </c>
      <c r="HY31">
        <v>4.9912799999999997</v>
      </c>
      <c r="HZ31">
        <v>3.2811400000000002</v>
      </c>
      <c r="IA31">
        <v>9999</v>
      </c>
      <c r="IB31">
        <v>9999</v>
      </c>
      <c r="IC31">
        <v>9999</v>
      </c>
      <c r="ID31">
        <v>149.6</v>
      </c>
      <c r="IE31">
        <v>4.9718799999999996</v>
      </c>
      <c r="IF31">
        <v>1.85802</v>
      </c>
      <c r="IG31">
        <v>1.8672599999999999</v>
      </c>
      <c r="IH31">
        <v>1.86246</v>
      </c>
      <c r="II31">
        <v>1.8646199999999999</v>
      </c>
      <c r="IJ31">
        <v>1.8608199999999999</v>
      </c>
      <c r="IK31">
        <v>1.86317</v>
      </c>
      <c r="IL31">
        <v>1.8608100000000001</v>
      </c>
      <c r="IM31">
        <v>0</v>
      </c>
      <c r="IN31">
        <v>0</v>
      </c>
      <c r="IO31">
        <v>0</v>
      </c>
      <c r="IP31">
        <v>0</v>
      </c>
      <c r="IQ31" t="s">
        <v>443</v>
      </c>
      <c r="IR31" t="s">
        <v>444</v>
      </c>
      <c r="IS31" t="s">
        <v>445</v>
      </c>
      <c r="IT31" t="s">
        <v>445</v>
      </c>
      <c r="IU31" t="s">
        <v>445</v>
      </c>
      <c r="IV31" t="s">
        <v>445</v>
      </c>
      <c r="IW31">
        <v>0</v>
      </c>
      <c r="IX31">
        <v>100</v>
      </c>
      <c r="IY31">
        <v>100</v>
      </c>
      <c r="IZ31">
        <v>-2.0609999999999999</v>
      </c>
      <c r="JA31">
        <v>-3.1699999999999999E-2</v>
      </c>
      <c r="JB31">
        <v>-1.140465381763482</v>
      </c>
      <c r="JC31">
        <v>-2.4932477295996069E-3</v>
      </c>
      <c r="JD31">
        <v>1.159696634280317E-6</v>
      </c>
      <c r="JE31">
        <v>-3.5013845820821591E-10</v>
      </c>
      <c r="JF31">
        <v>-8.6309180691159976E-2</v>
      </c>
      <c r="JG31">
        <v>-7.5935071553627593E-3</v>
      </c>
      <c r="JH31">
        <v>1.367325239740887E-3</v>
      </c>
      <c r="JI31">
        <v>-2.2944115828177239E-5</v>
      </c>
      <c r="JJ31">
        <v>2</v>
      </c>
      <c r="JK31">
        <v>2118</v>
      </c>
      <c r="JL31">
        <v>1</v>
      </c>
      <c r="JM31">
        <v>27</v>
      </c>
      <c r="JN31">
        <v>-799446.4</v>
      </c>
      <c r="JO31">
        <v>-799446.5</v>
      </c>
      <c r="JP31">
        <v>1.25854</v>
      </c>
      <c r="JQ31">
        <v>2.4633799999999999</v>
      </c>
      <c r="JR31">
        <v>2.19604</v>
      </c>
      <c r="JS31">
        <v>2.6965300000000001</v>
      </c>
      <c r="JT31">
        <v>2.1496599999999999</v>
      </c>
      <c r="JU31">
        <v>2.4475099999999999</v>
      </c>
      <c r="JV31">
        <v>28.5426</v>
      </c>
      <c r="JW31">
        <v>14.587300000000001</v>
      </c>
      <c r="JX31">
        <v>18</v>
      </c>
      <c r="JY31">
        <v>635.69100000000003</v>
      </c>
      <c r="JZ31">
        <v>771.45299999999997</v>
      </c>
      <c r="KA31">
        <v>21.796299999999999</v>
      </c>
      <c r="KB31">
        <v>20.6294</v>
      </c>
      <c r="KC31">
        <v>30.000599999999999</v>
      </c>
      <c r="KD31">
        <v>20.606300000000001</v>
      </c>
      <c r="KE31">
        <v>20.509899999999998</v>
      </c>
      <c r="KF31">
        <v>25.264099999999999</v>
      </c>
      <c r="KG31">
        <v>44.145899999999997</v>
      </c>
      <c r="KH31">
        <v>22.5322</v>
      </c>
      <c r="KI31">
        <v>-999.9</v>
      </c>
      <c r="KJ31">
        <v>400</v>
      </c>
      <c r="KK31">
        <v>9.7955699999999997</v>
      </c>
      <c r="KL31">
        <v>102.306</v>
      </c>
      <c r="KM31">
        <v>102.32299999999999</v>
      </c>
    </row>
    <row r="32" spans="1:299" x14ac:dyDescent="0.2">
      <c r="A32">
        <v>16</v>
      </c>
      <c r="B32" t="s">
        <v>538</v>
      </c>
      <c r="C32">
        <v>16</v>
      </c>
      <c r="D32">
        <v>1707841526</v>
      </c>
      <c r="E32">
        <v>4599</v>
      </c>
      <c r="F32" t="s">
        <v>475</v>
      </c>
      <c r="G32" t="s">
        <v>476</v>
      </c>
      <c r="H32" t="s">
        <v>436</v>
      </c>
      <c r="I32" t="s">
        <v>437</v>
      </c>
      <c r="J32" t="s">
        <v>438</v>
      </c>
      <c r="M32" t="s">
        <v>438</v>
      </c>
      <c r="O32">
        <v>1707841526</v>
      </c>
      <c r="P32">
        <f t="shared" si="0"/>
        <v>3.190487782409225E-4</v>
      </c>
      <c r="Q32">
        <f t="shared" si="1"/>
        <v>0.31904877824092248</v>
      </c>
      <c r="R32">
        <f t="shared" si="2"/>
        <v>0.19710106388283968</v>
      </c>
      <c r="S32">
        <f t="shared" si="3"/>
        <v>553.33399999999995</v>
      </c>
      <c r="T32">
        <f t="shared" si="4"/>
        <v>523.96998866874515</v>
      </c>
      <c r="U32">
        <f t="shared" si="5"/>
        <v>53.496603123446725</v>
      </c>
      <c r="V32">
        <f t="shared" si="6"/>
        <v>56.494627617734388</v>
      </c>
      <c r="W32">
        <f t="shared" si="7"/>
        <v>2.0169114238432016E-2</v>
      </c>
      <c r="X32">
        <f t="shared" si="8"/>
        <v>2.957811663687945</v>
      </c>
      <c r="Y32">
        <f t="shared" si="9"/>
        <v>2.0093018951945176E-2</v>
      </c>
      <c r="Z32">
        <f t="shared" si="10"/>
        <v>1.2564949672919589E-2</v>
      </c>
      <c r="AA32">
        <f t="shared" si="11"/>
        <v>247.6025999139257</v>
      </c>
      <c r="AB32">
        <f t="shared" si="12"/>
        <v>25.007109744508693</v>
      </c>
      <c r="AC32">
        <f t="shared" si="13"/>
        <v>22.3931</v>
      </c>
      <c r="AD32">
        <f t="shared" si="14"/>
        <v>2.717793563720913</v>
      </c>
      <c r="AE32">
        <f t="shared" si="15"/>
        <v>38.460237049090637</v>
      </c>
      <c r="AF32">
        <f t="shared" si="16"/>
        <v>1.12713793208352</v>
      </c>
      <c r="AG32">
        <f t="shared" si="17"/>
        <v>2.9306577872747934</v>
      </c>
      <c r="AH32">
        <f t="shared" si="18"/>
        <v>1.590655631637393</v>
      </c>
      <c r="AI32">
        <f t="shared" si="19"/>
        <v>-14.070051120424681</v>
      </c>
      <c r="AJ32">
        <f t="shared" si="20"/>
        <v>198.68908184627944</v>
      </c>
      <c r="AK32">
        <f t="shared" si="21"/>
        <v>13.927161595636457</v>
      </c>
      <c r="AL32">
        <f t="shared" si="22"/>
        <v>446.14879223541686</v>
      </c>
      <c r="AM32">
        <f t="shared" si="23"/>
        <v>-179.30948399494997</v>
      </c>
      <c r="AN32">
        <f t="shared" si="24"/>
        <v>0.90680195858216006</v>
      </c>
      <c r="AO32">
        <f t="shared" si="25"/>
        <v>0.19710106388283968</v>
      </c>
      <c r="AP32">
        <v>404.16217141345271</v>
      </c>
      <c r="AQ32">
        <v>576.26306060606078</v>
      </c>
      <c r="AR32">
        <v>-43.50610195168484</v>
      </c>
      <c r="AS32">
        <v>67.01872749040983</v>
      </c>
      <c r="AT32">
        <f t="shared" si="26"/>
        <v>0.31904877824092248</v>
      </c>
      <c r="AU32">
        <v>10.269701843493859</v>
      </c>
      <c r="AV32">
        <v>11.072583030303029</v>
      </c>
      <c r="AW32">
        <v>-0.1146882365993811</v>
      </c>
      <c r="AX32">
        <v>78.563303882208885</v>
      </c>
      <c r="AY32">
        <v>22</v>
      </c>
      <c r="AZ32">
        <v>3</v>
      </c>
      <c r="BA32">
        <f t="shared" si="27"/>
        <v>1</v>
      </c>
      <c r="BB32">
        <f t="shared" si="28"/>
        <v>0</v>
      </c>
      <c r="BC32">
        <f t="shared" si="29"/>
        <v>54351.275435791751</v>
      </c>
      <c r="BD32" t="s">
        <v>439</v>
      </c>
      <c r="BE32" t="s">
        <v>439</v>
      </c>
      <c r="BF32">
        <v>0</v>
      </c>
      <c r="BG32">
        <v>0</v>
      </c>
      <c r="BH32" t="e">
        <f t="shared" si="30"/>
        <v>#DIV/0!</v>
      </c>
      <c r="BI32">
        <v>0</v>
      </c>
      <c r="BJ32" t="s">
        <v>439</v>
      </c>
      <c r="BK32" t="s">
        <v>439</v>
      </c>
      <c r="BL32">
        <v>0</v>
      </c>
      <c r="BM32">
        <v>0</v>
      </c>
      <c r="BN32" t="e">
        <f t="shared" si="31"/>
        <v>#DIV/0!</v>
      </c>
      <c r="BO32">
        <v>0.5</v>
      </c>
      <c r="BP32">
        <f t="shared" si="32"/>
        <v>1092.2267999569629</v>
      </c>
      <c r="BQ32">
        <f t="shared" si="33"/>
        <v>0.19710106388283968</v>
      </c>
      <c r="BR32" t="e">
        <f t="shared" si="34"/>
        <v>#DIV/0!</v>
      </c>
      <c r="BS32">
        <f t="shared" si="35"/>
        <v>1.8045800001483764E-4</v>
      </c>
      <c r="BT32" t="e">
        <f t="shared" si="36"/>
        <v>#DIV/0!</v>
      </c>
      <c r="BU32" t="e">
        <f t="shared" si="37"/>
        <v>#DIV/0!</v>
      </c>
      <c r="BV32" t="s">
        <v>439</v>
      </c>
      <c r="BW32">
        <v>0</v>
      </c>
      <c r="BX32" t="e">
        <f t="shared" si="38"/>
        <v>#DIV/0!</v>
      </c>
      <c r="BY32" t="e">
        <f t="shared" si="39"/>
        <v>#DIV/0!</v>
      </c>
      <c r="BZ32" t="e">
        <f t="shared" si="40"/>
        <v>#DIV/0!</v>
      </c>
      <c r="CA32" t="e">
        <f t="shared" si="41"/>
        <v>#DIV/0!</v>
      </c>
      <c r="CB32" t="e">
        <f t="shared" si="42"/>
        <v>#DIV/0!</v>
      </c>
      <c r="CC32" t="e">
        <f t="shared" si="43"/>
        <v>#DIV/0!</v>
      </c>
      <c r="CD32" t="e">
        <f t="shared" si="44"/>
        <v>#DIV/0!</v>
      </c>
      <c r="CE32" t="e">
        <f t="shared" si="45"/>
        <v>#DIV/0!</v>
      </c>
      <c r="DN32">
        <f t="shared" si="46"/>
        <v>1299.9000000000001</v>
      </c>
      <c r="DO32">
        <f t="shared" si="47"/>
        <v>1092.2267999569629</v>
      </c>
      <c r="DP32">
        <f t="shared" si="48"/>
        <v>0.8402390952819162</v>
      </c>
      <c r="DQ32">
        <f t="shared" si="49"/>
        <v>0.19047819056383236</v>
      </c>
      <c r="DR32">
        <v>6</v>
      </c>
      <c r="DS32">
        <v>0.5</v>
      </c>
      <c r="DT32" t="s">
        <v>440</v>
      </c>
      <c r="DU32">
        <v>2</v>
      </c>
      <c r="DV32" t="b">
        <v>1</v>
      </c>
      <c r="DW32">
        <v>1707841526</v>
      </c>
      <c r="DX32">
        <v>553.33399999999995</v>
      </c>
      <c r="DY32">
        <v>400.02600000000001</v>
      </c>
      <c r="DZ32">
        <v>11.0397</v>
      </c>
      <c r="EA32">
        <v>10.270799999999999</v>
      </c>
      <c r="EB32">
        <v>555.56200000000001</v>
      </c>
      <c r="EC32">
        <v>11.073600000000001</v>
      </c>
      <c r="ED32">
        <v>699.798</v>
      </c>
      <c r="EE32">
        <v>102.023</v>
      </c>
      <c r="EF32">
        <v>7.5601600000000005E-2</v>
      </c>
      <c r="EG32">
        <v>23.639099999999999</v>
      </c>
      <c r="EH32">
        <v>22.3931</v>
      </c>
      <c r="EI32">
        <v>999.9</v>
      </c>
      <c r="EJ32">
        <v>0</v>
      </c>
      <c r="EK32">
        <v>0</v>
      </c>
      <c r="EL32">
        <v>9960.5</v>
      </c>
      <c r="EM32">
        <v>0</v>
      </c>
      <c r="EN32">
        <v>1.91117E-3</v>
      </c>
      <c r="EO32">
        <v>153.309</v>
      </c>
      <c r="EP32">
        <v>559.51099999999997</v>
      </c>
      <c r="EQ32">
        <v>404.17700000000002</v>
      </c>
      <c r="ER32">
        <v>0.76891299999999996</v>
      </c>
      <c r="ES32">
        <v>400.02600000000001</v>
      </c>
      <c r="ET32">
        <v>10.270799999999999</v>
      </c>
      <c r="EU32">
        <v>1.1263000000000001</v>
      </c>
      <c r="EV32">
        <v>1.0478499999999999</v>
      </c>
      <c r="EW32">
        <v>8.6614799999999992</v>
      </c>
      <c r="EX32">
        <v>7.5993000000000004</v>
      </c>
      <c r="EY32">
        <v>1299.9000000000001</v>
      </c>
      <c r="EZ32">
        <v>0.99199700000000002</v>
      </c>
      <c r="FA32">
        <v>8.0030399999999995E-3</v>
      </c>
      <c r="FB32">
        <v>0</v>
      </c>
      <c r="FC32">
        <v>662.553</v>
      </c>
      <c r="FD32">
        <v>5.0001800000000003</v>
      </c>
      <c r="FE32">
        <v>12634</v>
      </c>
      <c r="FF32">
        <v>11144.8</v>
      </c>
      <c r="FG32">
        <v>38.311999999999998</v>
      </c>
      <c r="FH32">
        <v>39.125</v>
      </c>
      <c r="FI32">
        <v>39.125</v>
      </c>
      <c r="FJ32">
        <v>39.061999999999998</v>
      </c>
      <c r="FK32">
        <v>39.5</v>
      </c>
      <c r="FL32">
        <v>1284.54</v>
      </c>
      <c r="FM32">
        <v>10.36</v>
      </c>
      <c r="FN32">
        <v>0</v>
      </c>
      <c r="FO32">
        <v>1685735935.3</v>
      </c>
      <c r="FP32">
        <v>0</v>
      </c>
      <c r="FQ32">
        <v>543.71875</v>
      </c>
      <c r="FR32">
        <v>3044.298430084717</v>
      </c>
      <c r="FS32">
        <v>-1140524.9123913669</v>
      </c>
      <c r="FT32">
        <v>111371.35726923079</v>
      </c>
      <c r="FU32">
        <v>15</v>
      </c>
      <c r="FV32">
        <v>0</v>
      </c>
      <c r="FW32" t="s">
        <v>441</v>
      </c>
      <c r="FX32">
        <v>1755807717.5</v>
      </c>
      <c r="FY32">
        <v>1755807720.5</v>
      </c>
      <c r="FZ32">
        <v>0</v>
      </c>
      <c r="GA32">
        <v>-0.11700000000000001</v>
      </c>
      <c r="GB32">
        <v>-1.6E-2</v>
      </c>
      <c r="GC32">
        <v>-2.0089999999999999</v>
      </c>
      <c r="GD32">
        <v>0.03</v>
      </c>
      <c r="GE32">
        <v>420</v>
      </c>
      <c r="GF32">
        <v>15</v>
      </c>
      <c r="GG32">
        <v>0.09</v>
      </c>
      <c r="GH32">
        <v>0.01</v>
      </c>
      <c r="GI32">
        <v>-334.18840392324961</v>
      </c>
      <c r="GJ32">
        <v>-162.29093802297041</v>
      </c>
      <c r="GK32">
        <v>189.8462458908605</v>
      </c>
      <c r="GL32">
        <v>0</v>
      </c>
      <c r="GM32">
        <v>0.1040596883151234</v>
      </c>
      <c r="GN32">
        <v>-0.11887125528119789</v>
      </c>
      <c r="GO32">
        <v>2.650926224563855E-2</v>
      </c>
      <c r="GP32">
        <v>0</v>
      </c>
      <c r="GQ32">
        <v>0</v>
      </c>
      <c r="GR32">
        <v>2</v>
      </c>
      <c r="GS32" t="s">
        <v>442</v>
      </c>
      <c r="GT32">
        <v>3.3647499999999999</v>
      </c>
      <c r="GU32">
        <v>2.7694700000000001</v>
      </c>
      <c r="GV32">
        <v>0.12464</v>
      </c>
      <c r="GW32">
        <v>9.7697900000000004E-2</v>
      </c>
      <c r="GX32">
        <v>6.7085900000000004E-2</v>
      </c>
      <c r="GY32">
        <v>6.2799300000000002E-2</v>
      </c>
      <c r="GZ32">
        <v>20782.900000000001</v>
      </c>
      <c r="HA32">
        <v>22049.4</v>
      </c>
      <c r="HB32">
        <v>25191.4</v>
      </c>
      <c r="HC32">
        <v>25841</v>
      </c>
      <c r="HD32">
        <v>35758.5</v>
      </c>
      <c r="HE32">
        <v>36162.199999999997</v>
      </c>
      <c r="HF32">
        <v>42152.2</v>
      </c>
      <c r="HG32">
        <v>41765.199999999997</v>
      </c>
      <c r="HH32">
        <v>2.4217</v>
      </c>
      <c r="HI32">
        <v>2.44292</v>
      </c>
      <c r="HJ32">
        <v>-1.91629E-2</v>
      </c>
      <c r="HK32">
        <v>0</v>
      </c>
      <c r="HL32">
        <v>22.7088</v>
      </c>
      <c r="HM32">
        <v>999.9</v>
      </c>
      <c r="HN32">
        <v>49.7</v>
      </c>
      <c r="HO32">
        <v>24.9</v>
      </c>
      <c r="HP32">
        <v>15.398899999999999</v>
      </c>
      <c r="HQ32">
        <v>60.444699999999997</v>
      </c>
      <c r="HR32">
        <v>8.7780500000000004</v>
      </c>
      <c r="HS32">
        <v>2</v>
      </c>
      <c r="HT32">
        <v>-0.46317700000000001</v>
      </c>
      <c r="HU32">
        <v>0</v>
      </c>
      <c r="HV32">
        <v>20.369399999999999</v>
      </c>
      <c r="HW32">
        <v>5.20411</v>
      </c>
      <c r="HX32">
        <v>11.914099999999999</v>
      </c>
      <c r="HY32">
        <v>4.9918800000000001</v>
      </c>
      <c r="HZ32">
        <v>3.2809200000000001</v>
      </c>
      <c r="IA32">
        <v>9999</v>
      </c>
      <c r="IB32">
        <v>9999</v>
      </c>
      <c r="IC32">
        <v>9999</v>
      </c>
      <c r="ID32">
        <v>149.80000000000001</v>
      </c>
      <c r="IE32">
        <v>4.9718900000000001</v>
      </c>
      <c r="IF32">
        <v>1.85806</v>
      </c>
      <c r="IG32">
        <v>1.86737</v>
      </c>
      <c r="IH32">
        <v>1.86249</v>
      </c>
      <c r="II32">
        <v>1.86476</v>
      </c>
      <c r="IJ32">
        <v>1.8609500000000001</v>
      </c>
      <c r="IK32">
        <v>1.8632500000000001</v>
      </c>
      <c r="IL32">
        <v>1.8608100000000001</v>
      </c>
      <c r="IM32">
        <v>0</v>
      </c>
      <c r="IN32">
        <v>0</v>
      </c>
      <c r="IO32">
        <v>0</v>
      </c>
      <c r="IP32">
        <v>0</v>
      </c>
      <c r="IQ32" t="s">
        <v>443</v>
      </c>
      <c r="IR32" t="s">
        <v>444</v>
      </c>
      <c r="IS32" t="s">
        <v>445</v>
      </c>
      <c r="IT32" t="s">
        <v>445</v>
      </c>
      <c r="IU32" t="s">
        <v>445</v>
      </c>
      <c r="IV32" t="s">
        <v>445</v>
      </c>
      <c r="IW32">
        <v>0</v>
      </c>
      <c r="IX32">
        <v>100</v>
      </c>
      <c r="IY32">
        <v>100</v>
      </c>
      <c r="IZ32">
        <v>-2.2280000000000002</v>
      </c>
      <c r="JA32">
        <v>-3.39E-2</v>
      </c>
      <c r="JB32">
        <v>-1.140465381763482</v>
      </c>
      <c r="JC32">
        <v>-2.4932477295996069E-3</v>
      </c>
      <c r="JD32">
        <v>1.159696634280317E-6</v>
      </c>
      <c r="JE32">
        <v>-3.5013845820821591E-10</v>
      </c>
      <c r="JF32">
        <v>-8.6309180691159976E-2</v>
      </c>
      <c r="JG32">
        <v>-7.5935071553627593E-3</v>
      </c>
      <c r="JH32">
        <v>1.367325239740887E-3</v>
      </c>
      <c r="JI32">
        <v>-2.2944115828177239E-5</v>
      </c>
      <c r="JJ32">
        <v>2</v>
      </c>
      <c r="JK32">
        <v>2118</v>
      </c>
      <c r="JL32">
        <v>1</v>
      </c>
      <c r="JM32">
        <v>27</v>
      </c>
      <c r="JN32">
        <v>-799436.5</v>
      </c>
      <c r="JO32">
        <v>-799436.6</v>
      </c>
      <c r="JP32">
        <v>1.2634300000000001</v>
      </c>
      <c r="JQ32">
        <v>2.47803</v>
      </c>
      <c r="JR32">
        <v>2.19604</v>
      </c>
      <c r="JS32">
        <v>2.6953100000000001</v>
      </c>
      <c r="JT32">
        <v>2.1496599999999999</v>
      </c>
      <c r="JU32">
        <v>2.4255399999999998</v>
      </c>
      <c r="JV32">
        <v>29.4314</v>
      </c>
      <c r="JW32">
        <v>14.4648</v>
      </c>
      <c r="JX32">
        <v>18</v>
      </c>
      <c r="JY32">
        <v>663.27800000000002</v>
      </c>
      <c r="JZ32">
        <v>756.43799999999999</v>
      </c>
      <c r="KA32">
        <v>22.773700000000002</v>
      </c>
      <c r="KB32">
        <v>21.427399999999999</v>
      </c>
      <c r="KC32">
        <v>30.001200000000001</v>
      </c>
      <c r="KD32">
        <v>21.2652</v>
      </c>
      <c r="KE32">
        <v>21.1981</v>
      </c>
      <c r="KF32">
        <v>25.350300000000001</v>
      </c>
      <c r="KG32">
        <v>35.775100000000002</v>
      </c>
      <c r="KH32">
        <v>9.3504699999999996</v>
      </c>
      <c r="KI32">
        <v>-999.9</v>
      </c>
      <c r="KJ32">
        <v>400</v>
      </c>
      <c r="KK32">
        <v>10.3406</v>
      </c>
      <c r="KL32">
        <v>102.15</v>
      </c>
      <c r="KM32">
        <v>102.17400000000001</v>
      </c>
    </row>
    <row r="33" spans="1:299" x14ac:dyDescent="0.2">
      <c r="A33">
        <v>17</v>
      </c>
      <c r="B33" t="s">
        <v>538</v>
      </c>
      <c r="C33">
        <v>17</v>
      </c>
      <c r="D33">
        <v>1707841746</v>
      </c>
      <c r="E33">
        <v>4819</v>
      </c>
      <c r="F33" t="s">
        <v>477</v>
      </c>
      <c r="G33" t="s">
        <v>478</v>
      </c>
      <c r="H33" t="s">
        <v>436</v>
      </c>
      <c r="I33" t="s">
        <v>437</v>
      </c>
      <c r="J33" t="s">
        <v>438</v>
      </c>
      <c r="M33" t="s">
        <v>438</v>
      </c>
      <c r="O33">
        <v>1707841746</v>
      </c>
      <c r="P33">
        <f t="shared" si="0"/>
        <v>5.0819868496468324E-4</v>
      </c>
      <c r="Q33">
        <f t="shared" si="1"/>
        <v>0.50819868496468323</v>
      </c>
      <c r="R33">
        <f t="shared" si="2"/>
        <v>3.6071520728253175</v>
      </c>
      <c r="S33">
        <f t="shared" si="3"/>
        <v>410.01100000000002</v>
      </c>
      <c r="T33">
        <f t="shared" si="4"/>
        <v>204.04836583680913</v>
      </c>
      <c r="U33">
        <f t="shared" si="5"/>
        <v>20.833510348354142</v>
      </c>
      <c r="V33">
        <f t="shared" si="6"/>
        <v>41.862469108282902</v>
      </c>
      <c r="W33">
        <f t="shared" si="7"/>
        <v>2.9371571324277715E-2</v>
      </c>
      <c r="X33">
        <f t="shared" si="8"/>
        <v>2.9661341154777228</v>
      </c>
      <c r="Y33">
        <f t="shared" si="9"/>
        <v>2.9210944102683226E-2</v>
      </c>
      <c r="Z33">
        <f t="shared" si="10"/>
        <v>1.8271198410425658E-2</v>
      </c>
      <c r="AA33">
        <f t="shared" si="11"/>
        <v>247.62479991401676</v>
      </c>
      <c r="AB33">
        <f t="shared" si="12"/>
        <v>24.949822141672168</v>
      </c>
      <c r="AC33">
        <f t="shared" si="13"/>
        <v>23.298300000000001</v>
      </c>
      <c r="AD33">
        <f t="shared" si="14"/>
        <v>2.8710353309033851</v>
      </c>
      <c r="AE33">
        <f t="shared" si="15"/>
        <v>38.553749775868958</v>
      </c>
      <c r="AF33">
        <f t="shared" si="16"/>
        <v>1.1295314259813101</v>
      </c>
      <c r="AG33">
        <f t="shared" si="17"/>
        <v>2.9297576307046822</v>
      </c>
      <c r="AH33">
        <f t="shared" si="18"/>
        <v>1.7415039049220751</v>
      </c>
      <c r="AI33">
        <f t="shared" si="19"/>
        <v>-22.411562006942532</v>
      </c>
      <c r="AJ33">
        <f t="shared" si="20"/>
        <v>53.681861670971145</v>
      </c>
      <c r="AK33">
        <f t="shared" si="21"/>
        <v>3.7694108144534382</v>
      </c>
      <c r="AL33">
        <f t="shared" si="22"/>
        <v>282.66451039249881</v>
      </c>
      <c r="AM33">
        <f t="shared" si="23"/>
        <v>-11.976260767625543</v>
      </c>
      <c r="AN33">
        <f t="shared" si="24"/>
        <v>0.7389079015574741</v>
      </c>
      <c r="AO33">
        <f t="shared" si="25"/>
        <v>3.6071520728253175</v>
      </c>
      <c r="AP33">
        <v>404.20525148108572</v>
      </c>
      <c r="AQ33">
        <v>416.08598787878782</v>
      </c>
      <c r="AR33">
        <v>-3.7905664883713008</v>
      </c>
      <c r="AS33">
        <v>67.020420363788304</v>
      </c>
      <c r="AT33">
        <f t="shared" si="26"/>
        <v>0.50819868496468323</v>
      </c>
      <c r="AU33">
        <v>10.4499275422012</v>
      </c>
      <c r="AV33">
        <v>11.074213939393941</v>
      </c>
      <c r="AW33">
        <v>-4.1704986395625247E-2</v>
      </c>
      <c r="AX33">
        <v>78.570753878808858</v>
      </c>
      <c r="AY33">
        <v>22</v>
      </c>
      <c r="AZ33">
        <v>3</v>
      </c>
      <c r="BA33">
        <f t="shared" si="27"/>
        <v>1</v>
      </c>
      <c r="BB33">
        <f t="shared" si="28"/>
        <v>0</v>
      </c>
      <c r="BC33">
        <f t="shared" si="29"/>
        <v>54598.806538820376</v>
      </c>
      <c r="BD33" t="s">
        <v>439</v>
      </c>
      <c r="BE33" t="s">
        <v>439</v>
      </c>
      <c r="BF33">
        <v>0</v>
      </c>
      <c r="BG33">
        <v>0</v>
      </c>
      <c r="BH33" t="e">
        <f t="shared" si="30"/>
        <v>#DIV/0!</v>
      </c>
      <c r="BI33">
        <v>0</v>
      </c>
      <c r="BJ33" t="s">
        <v>439</v>
      </c>
      <c r="BK33" t="s">
        <v>439</v>
      </c>
      <c r="BL33">
        <v>0</v>
      </c>
      <c r="BM33">
        <v>0</v>
      </c>
      <c r="BN33" t="e">
        <f t="shared" si="31"/>
        <v>#DIV/0!</v>
      </c>
      <c r="BO33">
        <v>0.5</v>
      </c>
      <c r="BP33">
        <f t="shared" si="32"/>
        <v>1092.3272999570083</v>
      </c>
      <c r="BQ33">
        <f t="shared" si="33"/>
        <v>3.6071520728253175</v>
      </c>
      <c r="BR33" t="e">
        <f t="shared" si="34"/>
        <v>#DIV/0!</v>
      </c>
      <c r="BS33">
        <f t="shared" si="35"/>
        <v>3.3022630423750164E-3</v>
      </c>
      <c r="BT33" t="e">
        <f t="shared" si="36"/>
        <v>#DIV/0!</v>
      </c>
      <c r="BU33" t="e">
        <f t="shared" si="37"/>
        <v>#DIV/0!</v>
      </c>
      <c r="BV33" t="s">
        <v>439</v>
      </c>
      <c r="BW33">
        <v>0</v>
      </c>
      <c r="BX33" t="e">
        <f t="shared" si="38"/>
        <v>#DIV/0!</v>
      </c>
      <c r="BY33" t="e">
        <f t="shared" si="39"/>
        <v>#DIV/0!</v>
      </c>
      <c r="BZ33" t="e">
        <f t="shared" si="40"/>
        <v>#DIV/0!</v>
      </c>
      <c r="CA33" t="e">
        <f t="shared" si="41"/>
        <v>#DIV/0!</v>
      </c>
      <c r="CB33" t="e">
        <f t="shared" si="42"/>
        <v>#DIV/0!</v>
      </c>
      <c r="CC33" t="e">
        <f t="shared" si="43"/>
        <v>#DIV/0!</v>
      </c>
      <c r="CD33" t="e">
        <f t="shared" si="44"/>
        <v>#DIV/0!</v>
      </c>
      <c r="CE33" t="e">
        <f t="shared" si="45"/>
        <v>#DIV/0!</v>
      </c>
      <c r="DN33">
        <f t="shared" si="46"/>
        <v>1300.02</v>
      </c>
      <c r="DO33">
        <f t="shared" si="47"/>
        <v>1092.3272999570083</v>
      </c>
      <c r="DP33">
        <f t="shared" si="48"/>
        <v>0.84023884244627656</v>
      </c>
      <c r="DQ33">
        <f t="shared" si="49"/>
        <v>0.19047768489255301</v>
      </c>
      <c r="DR33">
        <v>6</v>
      </c>
      <c r="DS33">
        <v>0.5</v>
      </c>
      <c r="DT33" t="s">
        <v>440</v>
      </c>
      <c r="DU33">
        <v>2</v>
      </c>
      <c r="DV33" t="b">
        <v>1</v>
      </c>
      <c r="DW33">
        <v>1707841746</v>
      </c>
      <c r="DX33">
        <v>410.01100000000002</v>
      </c>
      <c r="DY33">
        <v>400.00599999999997</v>
      </c>
      <c r="DZ33">
        <v>11.062900000000001</v>
      </c>
      <c r="EA33">
        <v>10.4366</v>
      </c>
      <c r="EB33">
        <v>412.00599999999997</v>
      </c>
      <c r="EC33">
        <v>11.096500000000001</v>
      </c>
      <c r="ED33">
        <v>700.048</v>
      </c>
      <c r="EE33">
        <v>102.024</v>
      </c>
      <c r="EF33">
        <v>7.6843900000000007E-2</v>
      </c>
      <c r="EG33">
        <v>23.634</v>
      </c>
      <c r="EH33">
        <v>23.298300000000001</v>
      </c>
      <c r="EI33">
        <v>999.9</v>
      </c>
      <c r="EJ33">
        <v>0</v>
      </c>
      <c r="EK33">
        <v>0</v>
      </c>
      <c r="EL33">
        <v>10007.5</v>
      </c>
      <c r="EM33">
        <v>0</v>
      </c>
      <c r="EN33">
        <v>1.91117E-3</v>
      </c>
      <c r="EO33">
        <v>10.004899999999999</v>
      </c>
      <c r="EP33">
        <v>414.59800000000001</v>
      </c>
      <c r="EQ33">
        <v>404.22500000000002</v>
      </c>
      <c r="ER33">
        <v>0.626328</v>
      </c>
      <c r="ES33">
        <v>400.00599999999997</v>
      </c>
      <c r="ET33">
        <v>10.4366</v>
      </c>
      <c r="EU33">
        <v>1.1286799999999999</v>
      </c>
      <c r="EV33">
        <v>1.0647800000000001</v>
      </c>
      <c r="EW33">
        <v>8.6927199999999996</v>
      </c>
      <c r="EX33">
        <v>7.83432</v>
      </c>
      <c r="EY33">
        <v>1300.02</v>
      </c>
      <c r="EZ33">
        <v>0.99200999999999995</v>
      </c>
      <c r="FA33">
        <v>7.98981E-3</v>
      </c>
      <c r="FB33">
        <v>0</v>
      </c>
      <c r="FC33">
        <v>554.05499999999995</v>
      </c>
      <c r="FD33">
        <v>5.0001800000000003</v>
      </c>
      <c r="FE33">
        <v>9842.4</v>
      </c>
      <c r="FF33">
        <v>11145.9</v>
      </c>
      <c r="FG33">
        <v>38.186999999999998</v>
      </c>
      <c r="FH33">
        <v>38.686999999999998</v>
      </c>
      <c r="FI33">
        <v>39.186999999999998</v>
      </c>
      <c r="FJ33">
        <v>38.061999999999998</v>
      </c>
      <c r="FK33">
        <v>39.061999999999998</v>
      </c>
      <c r="FL33">
        <v>1284.67</v>
      </c>
      <c r="FM33">
        <v>10.35</v>
      </c>
      <c r="FN33">
        <v>0</v>
      </c>
      <c r="FO33">
        <v>1685736155.5</v>
      </c>
      <c r="FP33">
        <v>0</v>
      </c>
      <c r="FQ33">
        <v>490.59938</v>
      </c>
      <c r="FR33">
        <v>1491.0195424319211</v>
      </c>
      <c r="FS33">
        <v>-2697568.5134886778</v>
      </c>
      <c r="FT33">
        <v>144916.88800000001</v>
      </c>
      <c r="FU33">
        <v>15</v>
      </c>
      <c r="FV33">
        <v>0</v>
      </c>
      <c r="FW33" t="s">
        <v>441</v>
      </c>
      <c r="FX33">
        <v>1755807717.5</v>
      </c>
      <c r="FY33">
        <v>1755807720.5</v>
      </c>
      <c r="FZ33">
        <v>0</v>
      </c>
      <c r="GA33">
        <v>-0.11700000000000001</v>
      </c>
      <c r="GB33">
        <v>-1.6E-2</v>
      </c>
      <c r="GC33">
        <v>-2.0089999999999999</v>
      </c>
      <c r="GD33">
        <v>0.03</v>
      </c>
      <c r="GE33">
        <v>420</v>
      </c>
      <c r="GF33">
        <v>15</v>
      </c>
      <c r="GG33">
        <v>0.09</v>
      </c>
      <c r="GH33">
        <v>0.01</v>
      </c>
      <c r="GI33">
        <v>-63.467877225667799</v>
      </c>
      <c r="GJ33">
        <v>346.30718836109162</v>
      </c>
      <c r="GK33">
        <v>38.440996875501042</v>
      </c>
      <c r="GL33">
        <v>0</v>
      </c>
      <c r="GM33">
        <v>9.1835156278264121E-2</v>
      </c>
      <c r="GN33">
        <v>-0.33108552583373568</v>
      </c>
      <c r="GO33">
        <v>4.0526531609214468E-2</v>
      </c>
      <c r="GP33">
        <v>0</v>
      </c>
      <c r="GQ33">
        <v>0</v>
      </c>
      <c r="GR33">
        <v>2</v>
      </c>
      <c r="GS33" t="s">
        <v>442</v>
      </c>
      <c r="GT33">
        <v>3.3650799999999998</v>
      </c>
      <c r="GU33">
        <v>2.7711299999999999</v>
      </c>
      <c r="GV33">
        <v>0.100103</v>
      </c>
      <c r="GW33">
        <v>9.7620499999999999E-2</v>
      </c>
      <c r="GX33">
        <v>6.7141199999999998E-2</v>
      </c>
      <c r="GY33">
        <v>6.3526799999999994E-2</v>
      </c>
      <c r="GZ33">
        <v>21355.599999999999</v>
      </c>
      <c r="HA33">
        <v>22040</v>
      </c>
      <c r="HB33">
        <v>25182.799999999999</v>
      </c>
      <c r="HC33">
        <v>25829.200000000001</v>
      </c>
      <c r="HD33">
        <v>35743.4</v>
      </c>
      <c r="HE33">
        <v>36119.4</v>
      </c>
      <c r="HF33">
        <v>42136.6</v>
      </c>
      <c r="HG33">
        <v>41748.199999999997</v>
      </c>
      <c r="HH33">
        <v>2.41642</v>
      </c>
      <c r="HI33">
        <v>2.4342600000000001</v>
      </c>
      <c r="HJ33">
        <v>5.99921E-2</v>
      </c>
      <c r="HK33">
        <v>0</v>
      </c>
      <c r="HL33">
        <v>22.310500000000001</v>
      </c>
      <c r="HM33">
        <v>999.9</v>
      </c>
      <c r="HN33">
        <v>47.5</v>
      </c>
      <c r="HO33">
        <v>25.3</v>
      </c>
      <c r="HP33">
        <v>15.0708</v>
      </c>
      <c r="HQ33">
        <v>60.314700000000002</v>
      </c>
      <c r="HR33">
        <v>8.4134600000000006</v>
      </c>
      <c r="HS33">
        <v>2</v>
      </c>
      <c r="HT33">
        <v>-0.44361800000000001</v>
      </c>
      <c r="HU33">
        <v>0</v>
      </c>
      <c r="HV33">
        <v>20.368099999999998</v>
      </c>
      <c r="HW33">
        <v>5.2044699999999997</v>
      </c>
      <c r="HX33">
        <v>11.914099999999999</v>
      </c>
      <c r="HY33">
        <v>4.9921600000000002</v>
      </c>
      <c r="HZ33">
        <v>3.2813400000000001</v>
      </c>
      <c r="IA33">
        <v>9999</v>
      </c>
      <c r="IB33">
        <v>9999</v>
      </c>
      <c r="IC33">
        <v>9999</v>
      </c>
      <c r="ID33">
        <v>149.80000000000001</v>
      </c>
      <c r="IE33">
        <v>4.9718900000000001</v>
      </c>
      <c r="IF33">
        <v>1.8581099999999999</v>
      </c>
      <c r="IG33">
        <v>1.86737</v>
      </c>
      <c r="IH33">
        <v>1.8625</v>
      </c>
      <c r="II33">
        <v>1.8647800000000001</v>
      </c>
      <c r="IJ33">
        <v>1.8609599999999999</v>
      </c>
      <c r="IK33">
        <v>1.8632500000000001</v>
      </c>
      <c r="IL33">
        <v>1.86083</v>
      </c>
      <c r="IM33">
        <v>0</v>
      </c>
      <c r="IN33">
        <v>0</v>
      </c>
      <c r="IO33">
        <v>0</v>
      </c>
      <c r="IP33">
        <v>0</v>
      </c>
      <c r="IQ33" t="s">
        <v>443</v>
      </c>
      <c r="IR33" t="s">
        <v>444</v>
      </c>
      <c r="IS33" t="s">
        <v>445</v>
      </c>
      <c r="IT33" t="s">
        <v>445</v>
      </c>
      <c r="IU33" t="s">
        <v>445</v>
      </c>
      <c r="IV33" t="s">
        <v>445</v>
      </c>
      <c r="IW33">
        <v>0</v>
      </c>
      <c r="IX33">
        <v>100</v>
      </c>
      <c r="IY33">
        <v>100</v>
      </c>
      <c r="IZ33">
        <v>-1.9950000000000001</v>
      </c>
      <c r="JA33">
        <v>-3.3599999999999998E-2</v>
      </c>
      <c r="JB33">
        <v>-1.140465381763482</v>
      </c>
      <c r="JC33">
        <v>-2.4932477295996069E-3</v>
      </c>
      <c r="JD33">
        <v>1.159696634280317E-6</v>
      </c>
      <c r="JE33">
        <v>-3.5013845820821591E-10</v>
      </c>
      <c r="JF33">
        <v>-8.6309180691159976E-2</v>
      </c>
      <c r="JG33">
        <v>-7.5935071553627593E-3</v>
      </c>
      <c r="JH33">
        <v>1.367325239740887E-3</v>
      </c>
      <c r="JI33">
        <v>-2.2944115828177239E-5</v>
      </c>
      <c r="JJ33">
        <v>2</v>
      </c>
      <c r="JK33">
        <v>2118</v>
      </c>
      <c r="JL33">
        <v>1</v>
      </c>
      <c r="JM33">
        <v>27</v>
      </c>
      <c r="JN33">
        <v>-799432.9</v>
      </c>
      <c r="JO33">
        <v>-799432.9</v>
      </c>
      <c r="JP33">
        <v>1.2634300000000001</v>
      </c>
      <c r="JQ33">
        <v>2.48047</v>
      </c>
      <c r="JR33">
        <v>2.19604</v>
      </c>
      <c r="JS33">
        <v>2.6940900000000001</v>
      </c>
      <c r="JT33">
        <v>2.1496599999999999</v>
      </c>
      <c r="JU33">
        <v>2.4206500000000002</v>
      </c>
      <c r="JV33">
        <v>29.857800000000001</v>
      </c>
      <c r="JW33">
        <v>14.4297</v>
      </c>
      <c r="JX33">
        <v>18</v>
      </c>
      <c r="JY33">
        <v>663.14200000000005</v>
      </c>
      <c r="JZ33">
        <v>753.25300000000004</v>
      </c>
      <c r="KA33">
        <v>22.924900000000001</v>
      </c>
      <c r="KB33">
        <v>21.708600000000001</v>
      </c>
      <c r="KC33">
        <v>30.000900000000001</v>
      </c>
      <c r="KD33">
        <v>21.5626</v>
      </c>
      <c r="KE33">
        <v>21.498999999999999</v>
      </c>
      <c r="KF33">
        <v>25.370699999999999</v>
      </c>
      <c r="KG33">
        <v>33.6721</v>
      </c>
      <c r="KH33">
        <v>6.31081</v>
      </c>
      <c r="KI33">
        <v>-999.9</v>
      </c>
      <c r="KJ33">
        <v>400</v>
      </c>
      <c r="KK33">
        <v>10.4947</v>
      </c>
      <c r="KL33">
        <v>102.113</v>
      </c>
      <c r="KM33">
        <v>102.131</v>
      </c>
    </row>
    <row r="34" spans="1:299" x14ac:dyDescent="0.2">
      <c r="A34">
        <v>18</v>
      </c>
      <c r="B34" t="s">
        <v>538</v>
      </c>
      <c r="C34">
        <v>18</v>
      </c>
      <c r="D34">
        <v>1707842169.5999999</v>
      </c>
      <c r="E34">
        <v>5242.5999999046326</v>
      </c>
      <c r="F34" t="s">
        <v>479</v>
      </c>
      <c r="G34" t="s">
        <v>480</v>
      </c>
      <c r="H34" t="s">
        <v>436</v>
      </c>
      <c r="I34" t="s">
        <v>437</v>
      </c>
      <c r="J34" t="s">
        <v>438</v>
      </c>
      <c r="M34" t="s">
        <v>438</v>
      </c>
      <c r="O34">
        <v>1707842169.5999999</v>
      </c>
      <c r="P34">
        <f t="shared" si="0"/>
        <v>4.545557781534091E-4</v>
      </c>
      <c r="Q34">
        <f t="shared" si="1"/>
        <v>0.45455577815340908</v>
      </c>
      <c r="R34">
        <f t="shared" si="2"/>
        <v>2.7967433573056519</v>
      </c>
      <c r="S34">
        <f t="shared" si="3"/>
        <v>405.01600000000002</v>
      </c>
      <c r="T34">
        <f t="shared" si="4"/>
        <v>188.57501899517572</v>
      </c>
      <c r="U34">
        <f t="shared" si="5"/>
        <v>19.252609257696768</v>
      </c>
      <c r="V34">
        <f t="shared" si="6"/>
        <v>41.350200215622401</v>
      </c>
      <c r="W34">
        <f t="shared" si="7"/>
        <v>2.1747326926157835E-2</v>
      </c>
      <c r="X34">
        <f t="shared" si="8"/>
        <v>2.963948846198571</v>
      </c>
      <c r="Y34">
        <f t="shared" si="9"/>
        <v>2.1659067471099282E-2</v>
      </c>
      <c r="Z34">
        <f t="shared" si="10"/>
        <v>1.3544816963347717E-2</v>
      </c>
      <c r="AA34">
        <f t="shared" si="11"/>
        <v>276.08379992469173</v>
      </c>
      <c r="AB34">
        <f t="shared" si="12"/>
        <v>26.218460485629208</v>
      </c>
      <c r="AC34">
        <f t="shared" si="13"/>
        <v>25.345800000000001</v>
      </c>
      <c r="AD34">
        <f t="shared" si="14"/>
        <v>3.2458242275745008</v>
      </c>
      <c r="AE34">
        <f t="shared" si="15"/>
        <v>36.748111345426018</v>
      </c>
      <c r="AF34">
        <f t="shared" si="16"/>
        <v>1.1492859635847998</v>
      </c>
      <c r="AG34">
        <f t="shared" si="17"/>
        <v>3.1274694712381446</v>
      </c>
      <c r="AH34">
        <f t="shared" si="18"/>
        <v>2.096538263989701</v>
      </c>
      <c r="AI34">
        <f t="shared" si="19"/>
        <v>-20.045909816565342</v>
      </c>
      <c r="AJ34">
        <f t="shared" si="20"/>
        <v>-99.582630034307698</v>
      </c>
      <c r="AK34">
        <f t="shared" si="21"/>
        <v>-7.109235154511607</v>
      </c>
      <c r="AL34">
        <f t="shared" si="22"/>
        <v>149.34602491930707</v>
      </c>
      <c r="AM34">
        <f t="shared" si="23"/>
        <v>-6.0791905102692851</v>
      </c>
      <c r="AN34">
        <f t="shared" si="24"/>
        <v>0.5266031225168375</v>
      </c>
      <c r="AO34">
        <f t="shared" si="25"/>
        <v>2.7967433573056519</v>
      </c>
      <c r="AP34">
        <v>404.35337019125188</v>
      </c>
      <c r="AQ34">
        <v>410.4690484848482</v>
      </c>
      <c r="AR34">
        <v>-2.164953767907424</v>
      </c>
      <c r="AS34">
        <v>67.02432301793182</v>
      </c>
      <c r="AT34">
        <f t="shared" si="26"/>
        <v>0.45455577815340908</v>
      </c>
      <c r="AU34">
        <v>10.807207543121599</v>
      </c>
      <c r="AV34">
        <v>11.26097151515151</v>
      </c>
      <c r="AW34">
        <v>-1.4817123795632339E-2</v>
      </c>
      <c r="AX34">
        <v>78.588737891567263</v>
      </c>
      <c r="AY34">
        <v>0</v>
      </c>
      <c r="AZ34">
        <v>0</v>
      </c>
      <c r="BA34">
        <f t="shared" si="27"/>
        <v>1</v>
      </c>
      <c r="BB34">
        <f t="shared" si="28"/>
        <v>0</v>
      </c>
      <c r="BC34">
        <f t="shared" si="29"/>
        <v>54334.42075606095</v>
      </c>
      <c r="BD34" t="s">
        <v>439</v>
      </c>
      <c r="BE34" t="s">
        <v>439</v>
      </c>
      <c r="BF34">
        <v>0</v>
      </c>
      <c r="BG34">
        <v>0</v>
      </c>
      <c r="BH34" t="e">
        <f t="shared" si="30"/>
        <v>#DIV/0!</v>
      </c>
      <c r="BI34">
        <v>0</v>
      </c>
      <c r="BJ34" t="s">
        <v>439</v>
      </c>
      <c r="BK34" t="s">
        <v>439</v>
      </c>
      <c r="BL34">
        <v>0</v>
      </c>
      <c r="BM34">
        <v>0</v>
      </c>
      <c r="BN34" t="e">
        <f t="shared" si="31"/>
        <v>#DIV/0!</v>
      </c>
      <c r="BO34">
        <v>0.5</v>
      </c>
      <c r="BP34">
        <f t="shared" si="32"/>
        <v>1218.2024999623459</v>
      </c>
      <c r="BQ34">
        <f t="shared" si="33"/>
        <v>2.7967433573056519</v>
      </c>
      <c r="BR34" t="e">
        <f t="shared" si="34"/>
        <v>#DIV/0!</v>
      </c>
      <c r="BS34">
        <f t="shared" si="35"/>
        <v>2.2957951222330425E-3</v>
      </c>
      <c r="BT34" t="e">
        <f t="shared" si="36"/>
        <v>#DIV/0!</v>
      </c>
      <c r="BU34" t="e">
        <f t="shared" si="37"/>
        <v>#DIV/0!</v>
      </c>
      <c r="BV34" t="s">
        <v>439</v>
      </c>
      <c r="BW34">
        <v>0</v>
      </c>
      <c r="BX34" t="e">
        <f t="shared" si="38"/>
        <v>#DIV/0!</v>
      </c>
      <c r="BY34" t="e">
        <f t="shared" si="39"/>
        <v>#DIV/0!</v>
      </c>
      <c r="BZ34" t="e">
        <f t="shared" si="40"/>
        <v>#DIV/0!</v>
      </c>
      <c r="CA34" t="e">
        <f t="shared" si="41"/>
        <v>#DIV/0!</v>
      </c>
      <c r="CB34" t="e">
        <f t="shared" si="42"/>
        <v>#DIV/0!</v>
      </c>
      <c r="CC34" t="e">
        <f t="shared" si="43"/>
        <v>#DIV/0!</v>
      </c>
      <c r="CD34" t="e">
        <f t="shared" si="44"/>
        <v>#DIV/0!</v>
      </c>
      <c r="CE34" t="e">
        <f t="shared" si="45"/>
        <v>#DIV/0!</v>
      </c>
      <c r="DN34">
        <f t="shared" si="46"/>
        <v>1449.88</v>
      </c>
      <c r="DO34">
        <f t="shared" si="47"/>
        <v>1218.2024999623459</v>
      </c>
      <c r="DP34">
        <f t="shared" si="48"/>
        <v>0.84020918970007574</v>
      </c>
      <c r="DQ34">
        <f t="shared" si="49"/>
        <v>0.19041837940015155</v>
      </c>
      <c r="DR34">
        <v>6</v>
      </c>
      <c r="DS34">
        <v>0.5</v>
      </c>
      <c r="DT34" t="s">
        <v>440</v>
      </c>
      <c r="DU34">
        <v>2</v>
      </c>
      <c r="DV34" t="b">
        <v>1</v>
      </c>
      <c r="DW34">
        <v>1707842169.5999999</v>
      </c>
      <c r="DX34">
        <v>405.01600000000002</v>
      </c>
      <c r="DY34">
        <v>399.988</v>
      </c>
      <c r="DZ34">
        <v>11.257</v>
      </c>
      <c r="EA34">
        <v>10.810700000000001</v>
      </c>
      <c r="EB34">
        <v>407.00299999999999</v>
      </c>
      <c r="EC34">
        <v>11.287800000000001</v>
      </c>
      <c r="ED34">
        <v>699.98900000000003</v>
      </c>
      <c r="EE34">
        <v>102.015</v>
      </c>
      <c r="EF34">
        <v>8.0226400000000003E-2</v>
      </c>
      <c r="EG34">
        <v>24.7226</v>
      </c>
      <c r="EH34">
        <v>25.345800000000001</v>
      </c>
      <c r="EI34">
        <v>999.9</v>
      </c>
      <c r="EJ34">
        <v>0</v>
      </c>
      <c r="EK34">
        <v>0</v>
      </c>
      <c r="EL34">
        <v>9996</v>
      </c>
      <c r="EM34">
        <v>0</v>
      </c>
      <c r="EN34">
        <v>1.91117E-3</v>
      </c>
      <c r="EO34">
        <v>5.0281399999999996</v>
      </c>
      <c r="EP34">
        <v>409.62700000000001</v>
      </c>
      <c r="EQ34">
        <v>404.35899999999998</v>
      </c>
      <c r="ER34">
        <v>0.44626300000000002</v>
      </c>
      <c r="ES34">
        <v>399.988</v>
      </c>
      <c r="ET34">
        <v>10.810700000000001</v>
      </c>
      <c r="EU34">
        <v>1.14838</v>
      </c>
      <c r="EV34">
        <v>1.1028500000000001</v>
      </c>
      <c r="EW34">
        <v>8.9486799999999995</v>
      </c>
      <c r="EX34">
        <v>8.3510500000000008</v>
      </c>
      <c r="EY34">
        <v>1449.88</v>
      </c>
      <c r="EZ34">
        <v>0.99300200000000005</v>
      </c>
      <c r="FA34">
        <v>6.9975699999999998E-3</v>
      </c>
      <c r="FB34">
        <v>0</v>
      </c>
      <c r="FC34">
        <v>466.70100000000002</v>
      </c>
      <c r="FD34">
        <v>5.0001800000000003</v>
      </c>
      <c r="FE34">
        <v>8915.4</v>
      </c>
      <c r="FF34">
        <v>12439.2</v>
      </c>
      <c r="FG34">
        <v>37.311999999999998</v>
      </c>
      <c r="FH34">
        <v>38</v>
      </c>
      <c r="FI34">
        <v>38.125</v>
      </c>
      <c r="FJ34">
        <v>37.125</v>
      </c>
      <c r="FK34">
        <v>38.125</v>
      </c>
      <c r="FL34">
        <v>1434.77</v>
      </c>
      <c r="FM34">
        <v>10.11</v>
      </c>
      <c r="FN34">
        <v>0</v>
      </c>
      <c r="FO34">
        <v>1685736579.0999999</v>
      </c>
      <c r="FP34">
        <v>0</v>
      </c>
      <c r="FQ34">
        <v>492.25528000000008</v>
      </c>
      <c r="FR34">
        <v>-250.3126929554121</v>
      </c>
      <c r="FS34">
        <v>-1258115.3853854381</v>
      </c>
      <c r="FT34">
        <v>65832.795199999993</v>
      </c>
      <c r="FU34">
        <v>15</v>
      </c>
      <c r="FV34">
        <v>0</v>
      </c>
      <c r="FW34" t="s">
        <v>441</v>
      </c>
      <c r="FX34">
        <v>1755807717.5</v>
      </c>
      <c r="FY34">
        <v>1755807720.5</v>
      </c>
      <c r="FZ34">
        <v>0</v>
      </c>
      <c r="GA34">
        <v>-0.11700000000000001</v>
      </c>
      <c r="GB34">
        <v>-1.6E-2</v>
      </c>
      <c r="GC34">
        <v>-2.0089999999999999</v>
      </c>
      <c r="GD34">
        <v>0.03</v>
      </c>
      <c r="GE34">
        <v>420</v>
      </c>
      <c r="GF34">
        <v>15</v>
      </c>
      <c r="GG34">
        <v>0.09</v>
      </c>
      <c r="GH34">
        <v>0.01</v>
      </c>
      <c r="GI34">
        <v>-27.71769418734014</v>
      </c>
      <c r="GJ34">
        <v>7.9909359526557182</v>
      </c>
      <c r="GK34">
        <v>41.358829812538168</v>
      </c>
      <c r="GL34">
        <v>0</v>
      </c>
      <c r="GM34">
        <v>2.793308461561218E-2</v>
      </c>
      <c r="GN34">
        <v>0.13752459277616019</v>
      </c>
      <c r="GO34">
        <v>3.1350012919745457E-2</v>
      </c>
      <c r="GP34">
        <v>0</v>
      </c>
      <c r="GQ34">
        <v>0</v>
      </c>
      <c r="GR34">
        <v>2</v>
      </c>
      <c r="GS34" t="s">
        <v>442</v>
      </c>
      <c r="GT34">
        <v>3.36511</v>
      </c>
      <c r="GU34">
        <v>2.77441</v>
      </c>
      <c r="GV34">
        <v>9.9021200000000004E-2</v>
      </c>
      <c r="GW34">
        <v>9.7460000000000005E-2</v>
      </c>
      <c r="GX34">
        <v>6.7916599999999994E-2</v>
      </c>
      <c r="GY34">
        <v>6.5155099999999994E-2</v>
      </c>
      <c r="GZ34">
        <v>21355.599999999999</v>
      </c>
      <c r="HA34">
        <v>22014.5</v>
      </c>
      <c r="HB34">
        <v>25155.8</v>
      </c>
      <c r="HC34">
        <v>25797.8</v>
      </c>
      <c r="HD34">
        <v>35673.800000000003</v>
      </c>
      <c r="HE34">
        <v>36018.1</v>
      </c>
      <c r="HF34">
        <v>42088.9</v>
      </c>
      <c r="HG34">
        <v>41703.599999999999</v>
      </c>
      <c r="HH34">
        <v>2.4651800000000001</v>
      </c>
      <c r="HI34">
        <v>2.41812</v>
      </c>
      <c r="HJ34">
        <v>0.11833299999999999</v>
      </c>
      <c r="HK34">
        <v>0</v>
      </c>
      <c r="HL34">
        <v>23.4023</v>
      </c>
      <c r="HM34">
        <v>999.9</v>
      </c>
      <c r="HN34">
        <v>44.9</v>
      </c>
      <c r="HO34">
        <v>26.1</v>
      </c>
      <c r="HP34">
        <v>14.938599999999999</v>
      </c>
      <c r="HQ34">
        <v>60.830199999999998</v>
      </c>
      <c r="HR34">
        <v>8.6898999999999997</v>
      </c>
      <c r="HS34">
        <v>2</v>
      </c>
      <c r="HT34">
        <v>-0.39843699999999999</v>
      </c>
      <c r="HU34">
        <v>0</v>
      </c>
      <c r="HV34">
        <v>20.366199999999999</v>
      </c>
      <c r="HW34">
        <v>5.2004000000000001</v>
      </c>
      <c r="HX34">
        <v>11.914099999999999</v>
      </c>
      <c r="HY34">
        <v>4.9902800000000003</v>
      </c>
      <c r="HZ34">
        <v>3.2810600000000001</v>
      </c>
      <c r="IA34">
        <v>9999</v>
      </c>
      <c r="IB34">
        <v>9999</v>
      </c>
      <c r="IC34">
        <v>9999</v>
      </c>
      <c r="ID34">
        <v>149.9</v>
      </c>
      <c r="IE34">
        <v>4.9719199999999999</v>
      </c>
      <c r="IF34">
        <v>1.85822</v>
      </c>
      <c r="IG34">
        <v>1.8674500000000001</v>
      </c>
      <c r="IH34">
        <v>1.8626400000000001</v>
      </c>
      <c r="II34">
        <v>1.8648199999999999</v>
      </c>
      <c r="IJ34">
        <v>1.86104</v>
      </c>
      <c r="IK34">
        <v>1.86328</v>
      </c>
      <c r="IL34">
        <v>1.8609599999999999</v>
      </c>
      <c r="IM34">
        <v>0</v>
      </c>
      <c r="IN34">
        <v>0</v>
      </c>
      <c r="IO34">
        <v>0</v>
      </c>
      <c r="IP34">
        <v>0</v>
      </c>
      <c r="IQ34" t="s">
        <v>443</v>
      </c>
      <c r="IR34" t="s">
        <v>444</v>
      </c>
      <c r="IS34" t="s">
        <v>445</v>
      </c>
      <c r="IT34" t="s">
        <v>445</v>
      </c>
      <c r="IU34" t="s">
        <v>445</v>
      </c>
      <c r="IV34" t="s">
        <v>445</v>
      </c>
      <c r="IW34">
        <v>0</v>
      </c>
      <c r="IX34">
        <v>100</v>
      </c>
      <c r="IY34">
        <v>100</v>
      </c>
      <c r="IZ34">
        <v>-1.9870000000000001</v>
      </c>
      <c r="JA34">
        <v>-3.0800000000000001E-2</v>
      </c>
      <c r="JB34">
        <v>-1.140465381763482</v>
      </c>
      <c r="JC34">
        <v>-2.4932477295996069E-3</v>
      </c>
      <c r="JD34">
        <v>1.159696634280317E-6</v>
      </c>
      <c r="JE34">
        <v>-3.5013845820821591E-10</v>
      </c>
      <c r="JF34">
        <v>-8.6309180691159976E-2</v>
      </c>
      <c r="JG34">
        <v>-7.5935071553627593E-3</v>
      </c>
      <c r="JH34">
        <v>1.367325239740887E-3</v>
      </c>
      <c r="JI34">
        <v>-2.2944115828177239E-5</v>
      </c>
      <c r="JJ34">
        <v>2</v>
      </c>
      <c r="JK34">
        <v>2118</v>
      </c>
      <c r="JL34">
        <v>1</v>
      </c>
      <c r="JM34">
        <v>27</v>
      </c>
      <c r="JN34">
        <v>-799425.8</v>
      </c>
      <c r="JO34">
        <v>-799425.8</v>
      </c>
      <c r="JP34">
        <v>1.2658700000000001</v>
      </c>
      <c r="JQ34">
        <v>2.4890099999999999</v>
      </c>
      <c r="JR34">
        <v>2.19604</v>
      </c>
      <c r="JS34">
        <v>2.6965300000000001</v>
      </c>
      <c r="JT34">
        <v>2.1496599999999999</v>
      </c>
      <c r="JU34">
        <v>2.4157700000000002</v>
      </c>
      <c r="JV34">
        <v>30.868600000000001</v>
      </c>
      <c r="JW34">
        <v>14.3422</v>
      </c>
      <c r="JX34">
        <v>18</v>
      </c>
      <c r="JY34">
        <v>706.74800000000005</v>
      </c>
      <c r="JZ34">
        <v>747.87400000000002</v>
      </c>
      <c r="KA34">
        <v>23.5777</v>
      </c>
      <c r="KB34">
        <v>22.338699999999999</v>
      </c>
      <c r="KC34">
        <v>30.001000000000001</v>
      </c>
      <c r="KD34">
        <v>22.159800000000001</v>
      </c>
      <c r="KE34">
        <v>22.1035</v>
      </c>
      <c r="KF34">
        <v>25.410399999999999</v>
      </c>
      <c r="KG34">
        <v>31.725000000000001</v>
      </c>
      <c r="KH34">
        <v>2.2104400000000002</v>
      </c>
      <c r="KI34">
        <v>-999.9</v>
      </c>
      <c r="KJ34">
        <v>400</v>
      </c>
      <c r="KK34">
        <v>10.7395</v>
      </c>
      <c r="KL34">
        <v>102</v>
      </c>
      <c r="KM34">
        <v>102.01600000000001</v>
      </c>
    </row>
    <row r="35" spans="1:299" x14ac:dyDescent="0.2">
      <c r="A35">
        <v>19</v>
      </c>
      <c r="B35" t="s">
        <v>538</v>
      </c>
      <c r="C35">
        <v>19</v>
      </c>
      <c r="D35">
        <v>1707842705.5999999</v>
      </c>
      <c r="E35">
        <v>5778.5999999046326</v>
      </c>
      <c r="F35" t="s">
        <v>481</v>
      </c>
      <c r="G35" t="s">
        <v>482</v>
      </c>
      <c r="H35" t="s">
        <v>436</v>
      </c>
      <c r="I35" t="s">
        <v>437</v>
      </c>
      <c r="J35" t="s">
        <v>438</v>
      </c>
      <c r="M35" t="s">
        <v>438</v>
      </c>
      <c r="O35">
        <v>1707842705.5999999</v>
      </c>
      <c r="P35">
        <f t="shared" si="0"/>
        <v>4.5541463294532518E-4</v>
      </c>
      <c r="Q35">
        <f t="shared" si="1"/>
        <v>0.45541463294532519</v>
      </c>
      <c r="R35">
        <f t="shared" si="2"/>
        <v>8.7560491590110345</v>
      </c>
      <c r="S35">
        <f t="shared" si="3"/>
        <v>427.30900000000003</v>
      </c>
      <c r="T35">
        <f t="shared" si="4"/>
        <v>-171.58219586126759</v>
      </c>
      <c r="U35">
        <f t="shared" si="5"/>
        <v>-17.519091157512864</v>
      </c>
      <c r="V35">
        <f t="shared" si="6"/>
        <v>43.629616032414603</v>
      </c>
      <c r="W35">
        <f t="shared" si="7"/>
        <v>2.3637450684658168E-2</v>
      </c>
      <c r="X35">
        <f t="shared" si="8"/>
        <v>2.9679511527786429</v>
      </c>
      <c r="Y35">
        <f t="shared" si="9"/>
        <v>2.3533362327774709E-2</v>
      </c>
      <c r="Z35">
        <f t="shared" si="10"/>
        <v>1.4717665052089716E-2</v>
      </c>
      <c r="AA35">
        <f t="shared" si="11"/>
        <v>247.54809991382336</v>
      </c>
      <c r="AB35">
        <f t="shared" si="12"/>
        <v>26.552004155325061</v>
      </c>
      <c r="AC35">
        <f t="shared" si="13"/>
        <v>24.5943</v>
      </c>
      <c r="AD35">
        <f t="shared" si="14"/>
        <v>3.1035772215732327</v>
      </c>
      <c r="AE35">
        <f t="shared" si="15"/>
        <v>36.275782247959839</v>
      </c>
      <c r="AF35">
        <f t="shared" si="16"/>
        <v>1.1690305815303002</v>
      </c>
      <c r="AG35">
        <f t="shared" si="17"/>
        <v>3.2226199108250708</v>
      </c>
      <c r="AH35">
        <f t="shared" si="18"/>
        <v>1.9345466400429325</v>
      </c>
      <c r="AI35">
        <f t="shared" si="19"/>
        <v>-20.083785312888839</v>
      </c>
      <c r="AJ35">
        <f t="shared" si="20"/>
        <v>100.94916236991321</v>
      </c>
      <c r="AK35">
        <f t="shared" si="21"/>
        <v>7.1880620372824024</v>
      </c>
      <c r="AL35">
        <f t="shared" si="22"/>
        <v>335.60153900813015</v>
      </c>
      <c r="AM35">
        <f t="shared" si="23"/>
        <v>-32.002970290948866</v>
      </c>
      <c r="AN35">
        <f t="shared" si="24"/>
        <v>0.32409331642642558</v>
      </c>
      <c r="AO35">
        <f t="shared" si="25"/>
        <v>8.7560491590110345</v>
      </c>
      <c r="AP35">
        <v>404.52428611064983</v>
      </c>
      <c r="AQ35">
        <v>435.23730909090892</v>
      </c>
      <c r="AR35">
        <v>-9.723965612864145</v>
      </c>
      <c r="AS35">
        <v>67.028136793901268</v>
      </c>
      <c r="AT35">
        <f t="shared" si="26"/>
        <v>0.45541463294532519</v>
      </c>
      <c r="AU35">
        <v>11.17492388157763</v>
      </c>
      <c r="AV35">
        <v>11.438774545454541</v>
      </c>
      <c r="AW35">
        <v>2.6442887278445511E-2</v>
      </c>
      <c r="AX35">
        <v>78.607442448168186</v>
      </c>
      <c r="AY35">
        <v>0</v>
      </c>
      <c r="AZ35">
        <v>0</v>
      </c>
      <c r="BA35">
        <f t="shared" si="27"/>
        <v>1</v>
      </c>
      <c r="BB35">
        <f t="shared" si="28"/>
        <v>0</v>
      </c>
      <c r="BC35">
        <f t="shared" si="29"/>
        <v>54361.057914155361</v>
      </c>
      <c r="BD35" t="s">
        <v>439</v>
      </c>
      <c r="BE35" t="s">
        <v>439</v>
      </c>
      <c r="BF35">
        <v>0</v>
      </c>
      <c r="BG35">
        <v>0</v>
      </c>
      <c r="BH35" t="e">
        <f t="shared" si="30"/>
        <v>#DIV/0!</v>
      </c>
      <c r="BI35">
        <v>0</v>
      </c>
      <c r="BJ35" t="s">
        <v>439</v>
      </c>
      <c r="BK35" t="s">
        <v>439</v>
      </c>
      <c r="BL35">
        <v>0</v>
      </c>
      <c r="BM35">
        <v>0</v>
      </c>
      <c r="BN35" t="e">
        <f t="shared" si="31"/>
        <v>#DIV/0!</v>
      </c>
      <c r="BO35">
        <v>0.5</v>
      </c>
      <c r="BP35">
        <f t="shared" si="32"/>
        <v>1091.9834999569116</v>
      </c>
      <c r="BQ35">
        <f t="shared" si="33"/>
        <v>8.7560491590110345</v>
      </c>
      <c r="BR35" t="e">
        <f t="shared" si="34"/>
        <v>#DIV/0!</v>
      </c>
      <c r="BS35">
        <f t="shared" si="35"/>
        <v>8.0184811944104817E-3</v>
      </c>
      <c r="BT35" t="e">
        <f t="shared" si="36"/>
        <v>#DIV/0!</v>
      </c>
      <c r="BU35" t="e">
        <f t="shared" si="37"/>
        <v>#DIV/0!</v>
      </c>
      <c r="BV35" t="s">
        <v>439</v>
      </c>
      <c r="BW35">
        <v>0</v>
      </c>
      <c r="BX35" t="e">
        <f t="shared" si="38"/>
        <v>#DIV/0!</v>
      </c>
      <c r="BY35" t="e">
        <f t="shared" si="39"/>
        <v>#DIV/0!</v>
      </c>
      <c r="BZ35" t="e">
        <f t="shared" si="40"/>
        <v>#DIV/0!</v>
      </c>
      <c r="CA35" t="e">
        <f t="shared" si="41"/>
        <v>#DIV/0!</v>
      </c>
      <c r="CB35" t="e">
        <f t="shared" si="42"/>
        <v>#DIV/0!</v>
      </c>
      <c r="CC35" t="e">
        <f t="shared" si="43"/>
        <v>#DIV/0!</v>
      </c>
      <c r="CD35" t="e">
        <f t="shared" si="44"/>
        <v>#DIV/0!</v>
      </c>
      <c r="CE35" t="e">
        <f t="shared" si="45"/>
        <v>#DIV/0!</v>
      </c>
      <c r="DN35">
        <f t="shared" si="46"/>
        <v>1299.6099999999999</v>
      </c>
      <c r="DO35">
        <f t="shared" si="47"/>
        <v>1091.9834999569116</v>
      </c>
      <c r="DP35">
        <f t="shared" si="48"/>
        <v>0.84023937947300475</v>
      </c>
      <c r="DQ35">
        <f t="shared" si="49"/>
        <v>0.19047875894600949</v>
      </c>
      <c r="DR35">
        <v>6</v>
      </c>
      <c r="DS35">
        <v>0.5</v>
      </c>
      <c r="DT35" t="s">
        <v>440</v>
      </c>
      <c r="DU35">
        <v>2</v>
      </c>
      <c r="DV35" t="b">
        <v>1</v>
      </c>
      <c r="DW35">
        <v>1707842705.5999999</v>
      </c>
      <c r="DX35">
        <v>427.30900000000003</v>
      </c>
      <c r="DY35">
        <v>399.988</v>
      </c>
      <c r="DZ35">
        <v>11.4495</v>
      </c>
      <c r="EA35">
        <v>11.174799999999999</v>
      </c>
      <c r="EB35">
        <v>429.334</v>
      </c>
      <c r="EC35">
        <v>11.477499999999999</v>
      </c>
      <c r="ED35">
        <v>699.78</v>
      </c>
      <c r="EE35">
        <v>102.02200000000001</v>
      </c>
      <c r="EF35">
        <v>8.1199400000000005E-2</v>
      </c>
      <c r="EG35">
        <v>25.225200000000001</v>
      </c>
      <c r="EH35">
        <v>24.5943</v>
      </c>
      <c r="EI35">
        <v>999.9</v>
      </c>
      <c r="EJ35">
        <v>0</v>
      </c>
      <c r="EK35">
        <v>0</v>
      </c>
      <c r="EL35">
        <v>10018</v>
      </c>
      <c r="EM35">
        <v>0</v>
      </c>
      <c r="EN35">
        <v>1.91117E-3</v>
      </c>
      <c r="EO35">
        <v>27.3216</v>
      </c>
      <c r="EP35">
        <v>432.25799999999998</v>
      </c>
      <c r="EQ35">
        <v>404.50799999999998</v>
      </c>
      <c r="ER35">
        <v>0.27461799999999997</v>
      </c>
      <c r="ES35">
        <v>399.988</v>
      </c>
      <c r="ET35">
        <v>11.174799999999999</v>
      </c>
      <c r="EU35">
        <v>1.1680900000000001</v>
      </c>
      <c r="EV35">
        <v>1.14008</v>
      </c>
      <c r="EW35">
        <v>9.2009799999999995</v>
      </c>
      <c r="EX35">
        <v>8.8412299999999995</v>
      </c>
      <c r="EY35">
        <v>1299.6099999999999</v>
      </c>
      <c r="EZ35">
        <v>0.99199099999999996</v>
      </c>
      <c r="FA35">
        <v>8.0085E-3</v>
      </c>
      <c r="FB35">
        <v>0</v>
      </c>
      <c r="FC35">
        <v>724.79499999999996</v>
      </c>
      <c r="FD35">
        <v>5.0001800000000003</v>
      </c>
      <c r="FE35">
        <v>13724.5</v>
      </c>
      <c r="FF35">
        <v>11142.3</v>
      </c>
      <c r="FG35">
        <v>39.625</v>
      </c>
      <c r="FH35">
        <v>40.561999999999998</v>
      </c>
      <c r="FI35">
        <v>40.186999999999998</v>
      </c>
      <c r="FJ35">
        <v>41.186999999999998</v>
      </c>
      <c r="FK35">
        <v>41</v>
      </c>
      <c r="FL35">
        <v>1284.24</v>
      </c>
      <c r="FM35">
        <v>10.37</v>
      </c>
      <c r="FN35">
        <v>0</v>
      </c>
      <c r="FO35">
        <v>1685737114.9000001</v>
      </c>
      <c r="FP35">
        <v>0</v>
      </c>
      <c r="FQ35">
        <v>501.05904615384623</v>
      </c>
      <c r="FR35">
        <v>3935.6671899412108</v>
      </c>
      <c r="FS35">
        <v>-2094085.4997562291</v>
      </c>
      <c r="FT35">
        <v>222593.1939615384</v>
      </c>
      <c r="FU35">
        <v>15</v>
      </c>
      <c r="FV35">
        <v>0</v>
      </c>
      <c r="FW35" t="s">
        <v>441</v>
      </c>
      <c r="FX35">
        <v>1755807717.5</v>
      </c>
      <c r="FY35">
        <v>1755807720.5</v>
      </c>
      <c r="FZ35">
        <v>0</v>
      </c>
      <c r="GA35">
        <v>-0.11700000000000001</v>
      </c>
      <c r="GB35">
        <v>-1.6E-2</v>
      </c>
      <c r="GC35">
        <v>-2.0089999999999999</v>
      </c>
      <c r="GD35">
        <v>0.03</v>
      </c>
      <c r="GE35">
        <v>420</v>
      </c>
      <c r="GF35">
        <v>15</v>
      </c>
      <c r="GG35">
        <v>0.09</v>
      </c>
      <c r="GH35">
        <v>0.01</v>
      </c>
      <c r="GI35">
        <v>-58.751146445826073</v>
      </c>
      <c r="GJ35">
        <v>-331.766159537796</v>
      </c>
      <c r="GK35">
        <v>97.017230726438925</v>
      </c>
      <c r="GL35">
        <v>0</v>
      </c>
      <c r="GM35">
        <v>7.3123073061913029E-3</v>
      </c>
      <c r="GN35">
        <v>0.106700879973244</v>
      </c>
      <c r="GO35">
        <v>1.2901814441484669E-2</v>
      </c>
      <c r="GP35">
        <v>0</v>
      </c>
      <c r="GQ35">
        <v>0</v>
      </c>
      <c r="GR35">
        <v>2</v>
      </c>
      <c r="GS35" t="s">
        <v>442</v>
      </c>
      <c r="GT35">
        <v>3.36497</v>
      </c>
      <c r="GU35">
        <v>2.77556</v>
      </c>
      <c r="GV35">
        <v>0.102863</v>
      </c>
      <c r="GW35">
        <v>9.7244800000000006E-2</v>
      </c>
      <c r="GX35">
        <v>6.8630399999999994E-2</v>
      </c>
      <c r="GY35">
        <v>6.6672400000000007E-2</v>
      </c>
      <c r="GZ35">
        <v>21235.3</v>
      </c>
      <c r="HA35">
        <v>21985.1</v>
      </c>
      <c r="HB35">
        <v>25125.200000000001</v>
      </c>
      <c r="HC35">
        <v>25761.5</v>
      </c>
      <c r="HD35">
        <v>35600.199999999997</v>
      </c>
      <c r="HE35">
        <v>35913.9</v>
      </c>
      <c r="HF35">
        <v>42033</v>
      </c>
      <c r="HG35">
        <v>41650.6</v>
      </c>
      <c r="HH35">
        <v>2.4312200000000002</v>
      </c>
      <c r="HI35">
        <v>2.3942600000000001</v>
      </c>
      <c r="HJ35">
        <v>2.7075399999999999E-2</v>
      </c>
      <c r="HK35">
        <v>0</v>
      </c>
      <c r="HL35">
        <v>24.1496</v>
      </c>
      <c r="HM35">
        <v>999.9</v>
      </c>
      <c r="HN35">
        <v>42.5</v>
      </c>
      <c r="HO35">
        <v>27.3</v>
      </c>
      <c r="HP35">
        <v>15.1747</v>
      </c>
      <c r="HQ35">
        <v>60.540199999999999</v>
      </c>
      <c r="HR35">
        <v>8.5617000000000001</v>
      </c>
      <c r="HS35">
        <v>2</v>
      </c>
      <c r="HT35">
        <v>-0.33695900000000001</v>
      </c>
      <c r="HU35">
        <v>0</v>
      </c>
      <c r="HV35">
        <v>20.369499999999999</v>
      </c>
      <c r="HW35">
        <v>5.2036300000000004</v>
      </c>
      <c r="HX35">
        <v>11.914199999999999</v>
      </c>
      <c r="HY35">
        <v>4.9921600000000002</v>
      </c>
      <c r="HZ35">
        <v>3.2813400000000001</v>
      </c>
      <c r="IA35">
        <v>9999</v>
      </c>
      <c r="IB35">
        <v>9999</v>
      </c>
      <c r="IC35">
        <v>9999</v>
      </c>
      <c r="ID35">
        <v>150.1</v>
      </c>
      <c r="IE35">
        <v>4.9719600000000002</v>
      </c>
      <c r="IF35">
        <v>1.8583700000000001</v>
      </c>
      <c r="IG35">
        <v>1.8675299999999999</v>
      </c>
      <c r="IH35">
        <v>1.8627899999999999</v>
      </c>
      <c r="II35">
        <v>1.86493</v>
      </c>
      <c r="IJ35">
        <v>1.86111</v>
      </c>
      <c r="IK35">
        <v>1.8633999999999999</v>
      </c>
      <c r="IL35">
        <v>1.8610899999999999</v>
      </c>
      <c r="IM35">
        <v>0</v>
      </c>
      <c r="IN35">
        <v>0</v>
      </c>
      <c r="IO35">
        <v>0</v>
      </c>
      <c r="IP35">
        <v>0</v>
      </c>
      <c r="IQ35" t="s">
        <v>443</v>
      </c>
      <c r="IR35" t="s">
        <v>444</v>
      </c>
      <c r="IS35" t="s">
        <v>445</v>
      </c>
      <c r="IT35" t="s">
        <v>445</v>
      </c>
      <c r="IU35" t="s">
        <v>445</v>
      </c>
      <c r="IV35" t="s">
        <v>445</v>
      </c>
      <c r="IW35">
        <v>0</v>
      </c>
      <c r="IX35">
        <v>100</v>
      </c>
      <c r="IY35">
        <v>100</v>
      </c>
      <c r="IZ35">
        <v>-2.0249999999999999</v>
      </c>
      <c r="JA35">
        <v>-2.8000000000000001E-2</v>
      </c>
      <c r="JB35">
        <v>-1.140465381763482</v>
      </c>
      <c r="JC35">
        <v>-2.4932477295996069E-3</v>
      </c>
      <c r="JD35">
        <v>1.159696634280317E-6</v>
      </c>
      <c r="JE35">
        <v>-3.5013845820821591E-10</v>
      </c>
      <c r="JF35">
        <v>-8.6309180691159976E-2</v>
      </c>
      <c r="JG35">
        <v>-7.5935071553627593E-3</v>
      </c>
      <c r="JH35">
        <v>1.367325239740887E-3</v>
      </c>
      <c r="JI35">
        <v>-2.2944115828177239E-5</v>
      </c>
      <c r="JJ35">
        <v>2</v>
      </c>
      <c r="JK35">
        <v>2118</v>
      </c>
      <c r="JL35">
        <v>1</v>
      </c>
      <c r="JM35">
        <v>27</v>
      </c>
      <c r="JN35">
        <v>-799416.9</v>
      </c>
      <c r="JO35">
        <v>-799416.9</v>
      </c>
      <c r="JP35">
        <v>1.26831</v>
      </c>
      <c r="JQ35">
        <v>2.4939</v>
      </c>
      <c r="JR35">
        <v>2.19604</v>
      </c>
      <c r="JS35">
        <v>2.6928700000000001</v>
      </c>
      <c r="JT35">
        <v>2.1496599999999999</v>
      </c>
      <c r="JU35">
        <v>2.4560499999999998</v>
      </c>
      <c r="JV35">
        <v>32.112400000000001</v>
      </c>
      <c r="JW35">
        <v>14.298400000000001</v>
      </c>
      <c r="JX35">
        <v>18</v>
      </c>
      <c r="JY35">
        <v>692.76700000000005</v>
      </c>
      <c r="JZ35">
        <v>739.71100000000001</v>
      </c>
      <c r="KA35">
        <v>24.3338</v>
      </c>
      <c r="KB35">
        <v>23.2102</v>
      </c>
      <c r="KC35">
        <v>30.000699999999998</v>
      </c>
      <c r="KD35">
        <v>23.0763</v>
      </c>
      <c r="KE35">
        <v>22.997</v>
      </c>
      <c r="KF35">
        <v>25.445499999999999</v>
      </c>
      <c r="KG35">
        <v>29.5519</v>
      </c>
      <c r="KH35">
        <v>0</v>
      </c>
      <c r="KI35">
        <v>-999.9</v>
      </c>
      <c r="KJ35">
        <v>400</v>
      </c>
      <c r="KK35">
        <v>11.1935</v>
      </c>
      <c r="KL35">
        <v>101.86799999999999</v>
      </c>
      <c r="KM35">
        <v>101.881</v>
      </c>
    </row>
    <row r="36" spans="1:299" x14ac:dyDescent="0.2">
      <c r="A36">
        <v>20</v>
      </c>
      <c r="B36" t="s">
        <v>538</v>
      </c>
      <c r="C36">
        <v>20</v>
      </c>
      <c r="D36">
        <v>1707843099.0999999</v>
      </c>
      <c r="E36">
        <v>6172.0999999046326</v>
      </c>
      <c r="F36" t="s">
        <v>483</v>
      </c>
      <c r="G36" t="s">
        <v>484</v>
      </c>
      <c r="H36" t="s">
        <v>436</v>
      </c>
      <c r="I36" t="s">
        <v>437</v>
      </c>
      <c r="J36" t="s">
        <v>438</v>
      </c>
      <c r="M36" t="s">
        <v>438</v>
      </c>
      <c r="O36">
        <v>1707843099.0999999</v>
      </c>
      <c r="P36">
        <f t="shared" si="0"/>
        <v>6.5573682142035423E-4</v>
      </c>
      <c r="Q36">
        <f t="shared" si="1"/>
        <v>0.65573682142035428</v>
      </c>
      <c r="R36">
        <f t="shared" si="2"/>
        <v>4.168504913441935</v>
      </c>
      <c r="S36">
        <f t="shared" si="3"/>
        <v>397.35</v>
      </c>
      <c r="T36">
        <f t="shared" si="4"/>
        <v>193.85344704186582</v>
      </c>
      <c r="U36">
        <f t="shared" si="5"/>
        <v>19.795350250118023</v>
      </c>
      <c r="V36">
        <f t="shared" si="6"/>
        <v>40.575406534740004</v>
      </c>
      <c r="W36">
        <f t="shared" si="7"/>
        <v>3.4488738441680676E-2</v>
      </c>
      <c r="X36">
        <f t="shared" si="8"/>
        <v>2.965866067467696</v>
      </c>
      <c r="Y36">
        <f t="shared" si="9"/>
        <v>3.4267473809386974E-2</v>
      </c>
      <c r="Z36">
        <f t="shared" si="10"/>
        <v>2.1436932393284341E-2</v>
      </c>
      <c r="AA36">
        <f t="shared" si="11"/>
        <v>285.42999992463575</v>
      </c>
      <c r="AB36">
        <f t="shared" si="12"/>
        <v>26.097848811963924</v>
      </c>
      <c r="AC36">
        <f t="shared" si="13"/>
        <v>24.518599999999999</v>
      </c>
      <c r="AD36">
        <f t="shared" si="14"/>
        <v>3.0895552011373235</v>
      </c>
      <c r="AE36">
        <f t="shared" si="15"/>
        <v>37.888961508203558</v>
      </c>
      <c r="AF36">
        <f t="shared" si="16"/>
        <v>1.1763140696538001</v>
      </c>
      <c r="AG36">
        <f t="shared" si="17"/>
        <v>3.1046352890910183</v>
      </c>
      <c r="AH36">
        <f t="shared" si="18"/>
        <v>1.9132411314835234</v>
      </c>
      <c r="AI36">
        <f t="shared" si="19"/>
        <v>-28.917993824637623</v>
      </c>
      <c r="AJ36">
        <f t="shared" si="20"/>
        <v>13.015515794346863</v>
      </c>
      <c r="AK36">
        <f t="shared" si="21"/>
        <v>0.92414825819075241</v>
      </c>
      <c r="AL36">
        <f t="shared" si="22"/>
        <v>270.45167015253577</v>
      </c>
      <c r="AM36">
        <f t="shared" si="23"/>
        <v>2.9148771924128276</v>
      </c>
      <c r="AN36">
        <f t="shared" si="24"/>
        <v>0.98422800449781411</v>
      </c>
      <c r="AO36">
        <f t="shared" si="25"/>
        <v>4.168504913441935</v>
      </c>
      <c r="AP36">
        <v>404.56002080839818</v>
      </c>
      <c r="AQ36">
        <v>402.09593333333322</v>
      </c>
      <c r="AR36">
        <v>-0.29082034095989517</v>
      </c>
      <c r="AS36">
        <v>67.027228785513344</v>
      </c>
      <c r="AT36">
        <f t="shared" si="26"/>
        <v>0.65573682142035428</v>
      </c>
      <c r="AU36">
        <v>11.01050867414998</v>
      </c>
      <c r="AV36">
        <v>11.537156969696969</v>
      </c>
      <c r="AW36">
        <v>6.2633035366293152E-3</v>
      </c>
      <c r="AX36">
        <v>78.59776407974104</v>
      </c>
      <c r="AY36">
        <v>0</v>
      </c>
      <c r="AZ36">
        <v>0</v>
      </c>
      <c r="BA36">
        <f t="shared" si="27"/>
        <v>1</v>
      </c>
      <c r="BB36">
        <f t="shared" si="28"/>
        <v>0</v>
      </c>
      <c r="BC36">
        <f t="shared" si="29"/>
        <v>54413.87594239811</v>
      </c>
      <c r="BD36" t="s">
        <v>439</v>
      </c>
      <c r="BE36" t="s">
        <v>439</v>
      </c>
      <c r="BF36">
        <v>0</v>
      </c>
      <c r="BG36">
        <v>0</v>
      </c>
      <c r="BH36" t="e">
        <f t="shared" si="30"/>
        <v>#DIV/0!</v>
      </c>
      <c r="BI36">
        <v>0</v>
      </c>
      <c r="BJ36" t="s">
        <v>439</v>
      </c>
      <c r="BK36" t="s">
        <v>439</v>
      </c>
      <c r="BL36">
        <v>0</v>
      </c>
      <c r="BM36">
        <v>0</v>
      </c>
      <c r="BN36" t="e">
        <f t="shared" si="31"/>
        <v>#DIV/0!</v>
      </c>
      <c r="BO36">
        <v>0.5</v>
      </c>
      <c r="BP36">
        <f t="shared" si="32"/>
        <v>1259.4401999623178</v>
      </c>
      <c r="BQ36">
        <f t="shared" si="33"/>
        <v>4.168504913441935</v>
      </c>
      <c r="BR36" t="e">
        <f t="shared" si="34"/>
        <v>#DIV/0!</v>
      </c>
      <c r="BS36">
        <f t="shared" si="35"/>
        <v>3.309807733282339E-3</v>
      </c>
      <c r="BT36" t="e">
        <f t="shared" si="36"/>
        <v>#DIV/0!</v>
      </c>
      <c r="BU36" t="e">
        <f t="shared" si="37"/>
        <v>#DIV/0!</v>
      </c>
      <c r="BV36" t="s">
        <v>439</v>
      </c>
      <c r="BW36">
        <v>0</v>
      </c>
      <c r="BX36" t="e">
        <f t="shared" si="38"/>
        <v>#DIV/0!</v>
      </c>
      <c r="BY36" t="e">
        <f t="shared" si="39"/>
        <v>#DIV/0!</v>
      </c>
      <c r="BZ36" t="e">
        <f t="shared" si="40"/>
        <v>#DIV/0!</v>
      </c>
      <c r="CA36" t="e">
        <f t="shared" si="41"/>
        <v>#DIV/0!</v>
      </c>
      <c r="CB36" t="e">
        <f t="shared" si="42"/>
        <v>#DIV/0!</v>
      </c>
      <c r="CC36" t="e">
        <f t="shared" si="43"/>
        <v>#DIV/0!</v>
      </c>
      <c r="CD36" t="e">
        <f t="shared" si="44"/>
        <v>#DIV/0!</v>
      </c>
      <c r="CE36" t="e">
        <f t="shared" si="45"/>
        <v>#DIV/0!</v>
      </c>
      <c r="DN36">
        <f t="shared" si="46"/>
        <v>1498.96</v>
      </c>
      <c r="DO36">
        <f t="shared" si="47"/>
        <v>1259.4401999623178</v>
      </c>
      <c r="DP36">
        <f t="shared" si="48"/>
        <v>0.8402093451208289</v>
      </c>
      <c r="DQ36">
        <f t="shared" si="49"/>
        <v>0.19041869024165803</v>
      </c>
      <c r="DR36">
        <v>6</v>
      </c>
      <c r="DS36">
        <v>0.5</v>
      </c>
      <c r="DT36" t="s">
        <v>440</v>
      </c>
      <c r="DU36">
        <v>2</v>
      </c>
      <c r="DV36" t="b">
        <v>1</v>
      </c>
      <c r="DW36">
        <v>1707843099.0999999</v>
      </c>
      <c r="DX36">
        <v>397.35</v>
      </c>
      <c r="DY36">
        <v>400.18400000000003</v>
      </c>
      <c r="DZ36">
        <v>11.519500000000001</v>
      </c>
      <c r="EA36">
        <v>10.685499999999999</v>
      </c>
      <c r="EB36">
        <v>399.32299999999998</v>
      </c>
      <c r="EC36">
        <v>11.5465</v>
      </c>
      <c r="ED36">
        <v>699.92100000000005</v>
      </c>
      <c r="EE36">
        <v>102.03400000000001</v>
      </c>
      <c r="EF36">
        <v>8.10284E-2</v>
      </c>
      <c r="EG36">
        <v>24.6</v>
      </c>
      <c r="EH36">
        <v>24.518599999999999</v>
      </c>
      <c r="EI36">
        <v>999.9</v>
      </c>
      <c r="EJ36">
        <v>0</v>
      </c>
      <c r="EK36">
        <v>0</v>
      </c>
      <c r="EL36">
        <v>10005</v>
      </c>
      <c r="EM36">
        <v>0</v>
      </c>
      <c r="EN36">
        <v>1.91117E-3</v>
      </c>
      <c r="EO36">
        <v>-2.8347799999999999</v>
      </c>
      <c r="EP36">
        <v>401.98</v>
      </c>
      <c r="EQ36">
        <v>404.50700000000001</v>
      </c>
      <c r="ER36">
        <v>0.83407600000000004</v>
      </c>
      <c r="ES36">
        <v>400.18400000000003</v>
      </c>
      <c r="ET36">
        <v>10.685499999999999</v>
      </c>
      <c r="EU36">
        <v>1.1753899999999999</v>
      </c>
      <c r="EV36">
        <v>1.0902799999999999</v>
      </c>
      <c r="EW36">
        <v>9.2933800000000009</v>
      </c>
      <c r="EX36">
        <v>8.1821599999999997</v>
      </c>
      <c r="EY36">
        <v>1498.96</v>
      </c>
      <c r="EZ36">
        <v>0.99299899999999997</v>
      </c>
      <c r="FA36">
        <v>7.0010999999999997E-3</v>
      </c>
      <c r="FB36">
        <v>0</v>
      </c>
      <c r="FC36">
        <v>506.95100000000002</v>
      </c>
      <c r="FD36">
        <v>5.0001800000000003</v>
      </c>
      <c r="FE36">
        <v>8976.1200000000008</v>
      </c>
      <c r="FF36">
        <v>12861.8</v>
      </c>
      <c r="FG36">
        <v>39.811999999999998</v>
      </c>
      <c r="FH36">
        <v>40.5</v>
      </c>
      <c r="FI36">
        <v>40.311999999999998</v>
      </c>
      <c r="FJ36">
        <v>41.125</v>
      </c>
      <c r="FK36">
        <v>41</v>
      </c>
      <c r="FL36">
        <v>1483.5</v>
      </c>
      <c r="FM36">
        <v>10.46</v>
      </c>
      <c r="FN36">
        <v>0</v>
      </c>
      <c r="FO36">
        <v>1685737508.5</v>
      </c>
      <c r="FP36">
        <v>0</v>
      </c>
      <c r="FQ36">
        <v>519.16846153846154</v>
      </c>
      <c r="FR36">
        <v>-129.01729900262879</v>
      </c>
      <c r="FS36">
        <v>3651.99110482999</v>
      </c>
      <c r="FT36">
        <v>8530.7592307692303</v>
      </c>
      <c r="FU36">
        <v>15</v>
      </c>
      <c r="FV36">
        <v>0</v>
      </c>
      <c r="FW36" t="s">
        <v>441</v>
      </c>
      <c r="FX36">
        <v>1755807717.5</v>
      </c>
      <c r="FY36">
        <v>1755807720.5</v>
      </c>
      <c r="FZ36">
        <v>0</v>
      </c>
      <c r="GA36">
        <v>-0.11700000000000001</v>
      </c>
      <c r="GB36">
        <v>-1.6E-2</v>
      </c>
      <c r="GC36">
        <v>-2.0089999999999999</v>
      </c>
      <c r="GD36">
        <v>0.03</v>
      </c>
      <c r="GE36">
        <v>420</v>
      </c>
      <c r="GF36">
        <v>15</v>
      </c>
      <c r="GG36">
        <v>0.09</v>
      </c>
      <c r="GH36">
        <v>0.01</v>
      </c>
      <c r="GI36">
        <v>-3.9711171840157231</v>
      </c>
      <c r="GJ36">
        <v>122.58557964568131</v>
      </c>
      <c r="GK36">
        <v>16.9567038816364</v>
      </c>
      <c r="GL36">
        <v>0</v>
      </c>
      <c r="GM36">
        <v>2.1106017632457601E-2</v>
      </c>
      <c r="GN36">
        <v>0.15298037363788669</v>
      </c>
      <c r="GO36">
        <v>1.931394602248605E-2</v>
      </c>
      <c r="GP36">
        <v>0</v>
      </c>
      <c r="GQ36">
        <v>0</v>
      </c>
      <c r="GR36">
        <v>2</v>
      </c>
      <c r="GS36" t="s">
        <v>442</v>
      </c>
      <c r="GT36">
        <v>3.3649399999999998</v>
      </c>
      <c r="GU36">
        <v>2.77528</v>
      </c>
      <c r="GV36">
        <v>9.7388000000000002E-2</v>
      </c>
      <c r="GW36">
        <v>9.7282400000000005E-2</v>
      </c>
      <c r="GX36">
        <v>6.8957199999999996E-2</v>
      </c>
      <c r="GY36">
        <v>6.4433000000000004E-2</v>
      </c>
      <c r="GZ36">
        <v>21366.9</v>
      </c>
      <c r="HA36">
        <v>21989</v>
      </c>
      <c r="HB36">
        <v>25127.4</v>
      </c>
      <c r="HC36">
        <v>25767</v>
      </c>
      <c r="HD36">
        <v>35591.300000000003</v>
      </c>
      <c r="HE36">
        <v>36006.9</v>
      </c>
      <c r="HF36">
        <v>42037.5</v>
      </c>
      <c r="HG36">
        <v>41658.199999999997</v>
      </c>
      <c r="HH36">
        <v>2.4653200000000002</v>
      </c>
      <c r="HI36">
        <v>2.3929399999999998</v>
      </c>
      <c r="HJ36">
        <v>0.109583</v>
      </c>
      <c r="HK36">
        <v>0</v>
      </c>
      <c r="HL36">
        <v>22.7166</v>
      </c>
      <c r="HM36">
        <v>999.9</v>
      </c>
      <c r="HN36">
        <v>37.200000000000003</v>
      </c>
      <c r="HO36">
        <v>27.9</v>
      </c>
      <c r="HP36">
        <v>13.754799999999999</v>
      </c>
      <c r="HQ36">
        <v>60.740200000000002</v>
      </c>
      <c r="HR36">
        <v>8.8781999999999996</v>
      </c>
      <c r="HS36">
        <v>2</v>
      </c>
      <c r="HT36">
        <v>-0.33984300000000001</v>
      </c>
      <c r="HU36">
        <v>0</v>
      </c>
      <c r="HV36">
        <v>20.368500000000001</v>
      </c>
      <c r="HW36">
        <v>5.2031499999999999</v>
      </c>
      <c r="HX36">
        <v>11.914099999999999</v>
      </c>
      <c r="HY36">
        <v>4.9910399999999999</v>
      </c>
      <c r="HZ36">
        <v>3.2813599999999998</v>
      </c>
      <c r="IA36">
        <v>9999</v>
      </c>
      <c r="IB36">
        <v>9999</v>
      </c>
      <c r="IC36">
        <v>9999</v>
      </c>
      <c r="ID36">
        <v>150.19999999999999</v>
      </c>
      <c r="IE36">
        <v>4.9719600000000002</v>
      </c>
      <c r="IF36">
        <v>1.8583700000000001</v>
      </c>
      <c r="IG36">
        <v>1.86754</v>
      </c>
      <c r="IH36">
        <v>1.8627899999999999</v>
      </c>
      <c r="II36">
        <v>1.86493</v>
      </c>
      <c r="IJ36">
        <v>1.8611200000000001</v>
      </c>
      <c r="IK36">
        <v>1.8633999999999999</v>
      </c>
      <c r="IL36">
        <v>1.8611</v>
      </c>
      <c r="IM36">
        <v>0</v>
      </c>
      <c r="IN36">
        <v>0</v>
      </c>
      <c r="IO36">
        <v>0</v>
      </c>
      <c r="IP36">
        <v>0</v>
      </c>
      <c r="IQ36" t="s">
        <v>443</v>
      </c>
      <c r="IR36" t="s">
        <v>444</v>
      </c>
      <c r="IS36" t="s">
        <v>445</v>
      </c>
      <c r="IT36" t="s">
        <v>445</v>
      </c>
      <c r="IU36" t="s">
        <v>445</v>
      </c>
      <c r="IV36" t="s">
        <v>445</v>
      </c>
      <c r="IW36">
        <v>0</v>
      </c>
      <c r="IX36">
        <v>100</v>
      </c>
      <c r="IY36">
        <v>100</v>
      </c>
      <c r="IZ36">
        <v>-1.9730000000000001</v>
      </c>
      <c r="JA36">
        <v>-2.7E-2</v>
      </c>
      <c r="JB36">
        <v>-1.140465381763482</v>
      </c>
      <c r="JC36">
        <v>-2.4932477295996069E-3</v>
      </c>
      <c r="JD36">
        <v>1.159696634280317E-6</v>
      </c>
      <c r="JE36">
        <v>-3.5013845820821591E-10</v>
      </c>
      <c r="JF36">
        <v>-8.6309180691159976E-2</v>
      </c>
      <c r="JG36">
        <v>-7.5935071553627593E-3</v>
      </c>
      <c r="JH36">
        <v>1.367325239740887E-3</v>
      </c>
      <c r="JI36">
        <v>-2.2944115828177239E-5</v>
      </c>
      <c r="JJ36">
        <v>2</v>
      </c>
      <c r="JK36">
        <v>2118</v>
      </c>
      <c r="JL36">
        <v>1</v>
      </c>
      <c r="JM36">
        <v>27</v>
      </c>
      <c r="JN36">
        <v>-799410.3</v>
      </c>
      <c r="JO36">
        <v>-799410.4</v>
      </c>
      <c r="JP36">
        <v>1.27075</v>
      </c>
      <c r="JQ36">
        <v>2.50366</v>
      </c>
      <c r="JR36">
        <v>2.19604</v>
      </c>
      <c r="JS36">
        <v>2.6879900000000001</v>
      </c>
      <c r="JT36">
        <v>2.1496599999999999</v>
      </c>
      <c r="JU36">
        <v>2.4584999999999999</v>
      </c>
      <c r="JV36">
        <v>32.222499999999997</v>
      </c>
      <c r="JW36">
        <v>14.228300000000001</v>
      </c>
      <c r="JX36">
        <v>18</v>
      </c>
      <c r="JY36">
        <v>718.58199999999999</v>
      </c>
      <c r="JZ36">
        <v>738.92899999999997</v>
      </c>
      <c r="KA36">
        <v>24.224699999999999</v>
      </c>
      <c r="KB36">
        <v>23.147400000000001</v>
      </c>
      <c r="KC36">
        <v>29.999700000000001</v>
      </c>
      <c r="KD36">
        <v>23.0625</v>
      </c>
      <c r="KE36">
        <v>23.023</v>
      </c>
      <c r="KF36">
        <v>25.497900000000001</v>
      </c>
      <c r="KG36">
        <v>26.177</v>
      </c>
      <c r="KH36">
        <v>0</v>
      </c>
      <c r="KI36">
        <v>-999.9</v>
      </c>
      <c r="KJ36">
        <v>400</v>
      </c>
      <c r="KK36">
        <v>10.0245</v>
      </c>
      <c r="KL36">
        <v>101.879</v>
      </c>
      <c r="KM36">
        <v>101.901</v>
      </c>
    </row>
    <row r="37" spans="1:299" x14ac:dyDescent="0.2">
      <c r="A37">
        <v>21</v>
      </c>
      <c r="B37" t="s">
        <v>538</v>
      </c>
      <c r="C37">
        <v>21</v>
      </c>
      <c r="D37">
        <v>1707843691</v>
      </c>
      <c r="E37">
        <v>6764</v>
      </c>
      <c r="F37" t="s">
        <v>485</v>
      </c>
      <c r="G37" t="s">
        <v>486</v>
      </c>
      <c r="H37" t="s">
        <v>436</v>
      </c>
      <c r="I37" t="s">
        <v>437</v>
      </c>
      <c r="J37" t="s">
        <v>438</v>
      </c>
      <c r="M37" t="s">
        <v>438</v>
      </c>
      <c r="O37">
        <v>1707843691</v>
      </c>
      <c r="P37">
        <f t="shared" si="0"/>
        <v>1.0061300307213415E-3</v>
      </c>
      <c r="Q37">
        <f t="shared" si="1"/>
        <v>1.0061300307213414</v>
      </c>
      <c r="R37">
        <f t="shared" si="2"/>
        <v>6.2414467314720721</v>
      </c>
      <c r="S37">
        <f t="shared" si="3"/>
        <v>403.495</v>
      </c>
      <c r="T37">
        <f t="shared" si="4"/>
        <v>212.92978189943057</v>
      </c>
      <c r="U37">
        <f t="shared" si="5"/>
        <v>21.742078059959244</v>
      </c>
      <c r="V37">
        <f t="shared" si="6"/>
        <v>41.200529623173004</v>
      </c>
      <c r="W37">
        <f t="shared" si="7"/>
        <v>5.5496551641433182E-2</v>
      </c>
      <c r="X37">
        <f t="shared" si="8"/>
        <v>2.9660079059825111</v>
      </c>
      <c r="Y37">
        <f t="shared" si="9"/>
        <v>5.492607036882606E-2</v>
      </c>
      <c r="Z37">
        <f t="shared" si="10"/>
        <v>3.4379560651983575E-2</v>
      </c>
      <c r="AA37">
        <f t="shared" si="11"/>
        <v>285.619399924758</v>
      </c>
      <c r="AB37">
        <f t="shared" si="12"/>
        <v>26.15182612433809</v>
      </c>
      <c r="AC37">
        <f t="shared" si="13"/>
        <v>24.087599999999998</v>
      </c>
      <c r="AD37">
        <f t="shared" si="14"/>
        <v>3.0107707190818176</v>
      </c>
      <c r="AE37">
        <f t="shared" si="15"/>
        <v>37.642594273195243</v>
      </c>
      <c r="AF37">
        <f t="shared" si="16"/>
        <v>1.17871734175398</v>
      </c>
      <c r="AG37">
        <f t="shared" si="17"/>
        <v>3.1313392833642388</v>
      </c>
      <c r="AH37">
        <f t="shared" si="18"/>
        <v>1.8320533773278376</v>
      </c>
      <c r="AI37">
        <f t="shared" si="19"/>
        <v>-44.370334354811163</v>
      </c>
      <c r="AJ37">
        <f t="shared" si="20"/>
        <v>104.84867133166021</v>
      </c>
      <c r="AK37">
        <f t="shared" si="21"/>
        <v>7.4334930285900986</v>
      </c>
      <c r="AL37">
        <f t="shared" si="22"/>
        <v>353.53122993019713</v>
      </c>
      <c r="AM37">
        <f t="shared" si="23"/>
        <v>-4.4143534085841614</v>
      </c>
      <c r="AN37">
        <f t="shared" si="24"/>
        <v>0.87313321995114923</v>
      </c>
      <c r="AO37">
        <f t="shared" si="25"/>
        <v>6.2414467314720721</v>
      </c>
      <c r="AP37">
        <v>404.39804952512759</v>
      </c>
      <c r="AQ37">
        <v>409.24119393939372</v>
      </c>
      <c r="AR37">
        <v>-2.5989453520356118</v>
      </c>
      <c r="AS37">
        <v>67.028952369243584</v>
      </c>
      <c r="AT37">
        <f t="shared" si="26"/>
        <v>1.0061300307213414</v>
      </c>
      <c r="AU37">
        <v>10.8071565109699</v>
      </c>
      <c r="AV37">
        <v>11.53265818181818</v>
      </c>
      <c r="AW37">
        <v>2.740177541088391E-2</v>
      </c>
      <c r="AX37">
        <v>78.622406113163251</v>
      </c>
      <c r="AY37">
        <v>26</v>
      </c>
      <c r="AZ37">
        <v>4</v>
      </c>
      <c r="BA37">
        <f t="shared" si="27"/>
        <v>1</v>
      </c>
      <c r="BB37">
        <f t="shared" si="28"/>
        <v>0</v>
      </c>
      <c r="BC37">
        <f t="shared" si="29"/>
        <v>54391.834209698158</v>
      </c>
      <c r="BD37" t="s">
        <v>439</v>
      </c>
      <c r="BE37" t="s">
        <v>439</v>
      </c>
      <c r="BF37">
        <v>0</v>
      </c>
      <c r="BG37">
        <v>0</v>
      </c>
      <c r="BH37" t="e">
        <f t="shared" si="30"/>
        <v>#DIV/0!</v>
      </c>
      <c r="BI37">
        <v>0</v>
      </c>
      <c r="BJ37" t="s">
        <v>439</v>
      </c>
      <c r="BK37" t="s">
        <v>439</v>
      </c>
      <c r="BL37">
        <v>0</v>
      </c>
      <c r="BM37">
        <v>0</v>
      </c>
      <c r="BN37" t="e">
        <f t="shared" si="31"/>
        <v>#DIV/0!</v>
      </c>
      <c r="BO37">
        <v>0.5</v>
      </c>
      <c r="BP37">
        <f t="shared" si="32"/>
        <v>1260.2798999623787</v>
      </c>
      <c r="BQ37">
        <f t="shared" si="33"/>
        <v>6.2414467314720721</v>
      </c>
      <c r="BR37" t="e">
        <f t="shared" si="34"/>
        <v>#DIV/0!</v>
      </c>
      <c r="BS37">
        <f t="shared" si="35"/>
        <v>4.9524290053807795E-3</v>
      </c>
      <c r="BT37" t="e">
        <f t="shared" si="36"/>
        <v>#DIV/0!</v>
      </c>
      <c r="BU37" t="e">
        <f t="shared" si="37"/>
        <v>#DIV/0!</v>
      </c>
      <c r="BV37" t="s">
        <v>439</v>
      </c>
      <c r="BW37">
        <v>0</v>
      </c>
      <c r="BX37" t="e">
        <f t="shared" si="38"/>
        <v>#DIV/0!</v>
      </c>
      <c r="BY37" t="e">
        <f t="shared" si="39"/>
        <v>#DIV/0!</v>
      </c>
      <c r="BZ37" t="e">
        <f t="shared" si="40"/>
        <v>#DIV/0!</v>
      </c>
      <c r="CA37" t="e">
        <f t="shared" si="41"/>
        <v>#DIV/0!</v>
      </c>
      <c r="CB37" t="e">
        <f t="shared" si="42"/>
        <v>#DIV/0!</v>
      </c>
      <c r="CC37" t="e">
        <f t="shared" si="43"/>
        <v>#DIV/0!</v>
      </c>
      <c r="CD37" t="e">
        <f t="shared" si="44"/>
        <v>#DIV/0!</v>
      </c>
      <c r="CE37" t="e">
        <f t="shared" si="45"/>
        <v>#DIV/0!</v>
      </c>
      <c r="DN37">
        <f t="shared" si="46"/>
        <v>1499.96</v>
      </c>
      <c r="DO37">
        <f t="shared" si="47"/>
        <v>1260.2798999623787</v>
      </c>
      <c r="DP37">
        <f t="shared" si="48"/>
        <v>0.8402090055484005</v>
      </c>
      <c r="DQ37">
        <f t="shared" si="49"/>
        <v>0.19041801109680126</v>
      </c>
      <c r="DR37">
        <v>6</v>
      </c>
      <c r="DS37">
        <v>0.5</v>
      </c>
      <c r="DT37" t="s">
        <v>440</v>
      </c>
      <c r="DU37">
        <v>2</v>
      </c>
      <c r="DV37" t="b">
        <v>1</v>
      </c>
      <c r="DW37">
        <v>1707843691</v>
      </c>
      <c r="DX37">
        <v>403.495</v>
      </c>
      <c r="DY37">
        <v>400.01400000000001</v>
      </c>
      <c r="DZ37">
        <v>11.543699999999999</v>
      </c>
      <c r="EA37">
        <v>10.8041</v>
      </c>
      <c r="EB37">
        <v>405.59100000000001</v>
      </c>
      <c r="EC37">
        <v>11.5036</v>
      </c>
      <c r="ED37">
        <v>700.15200000000004</v>
      </c>
      <c r="EE37">
        <v>102.032</v>
      </c>
      <c r="EF37">
        <v>7.7145400000000003E-2</v>
      </c>
      <c r="EG37">
        <v>24.743300000000001</v>
      </c>
      <c r="EH37">
        <v>24.087599999999998</v>
      </c>
      <c r="EI37">
        <v>999.9</v>
      </c>
      <c r="EJ37">
        <v>0</v>
      </c>
      <c r="EK37">
        <v>0</v>
      </c>
      <c r="EL37">
        <v>10006</v>
      </c>
      <c r="EM37">
        <v>0</v>
      </c>
      <c r="EN37">
        <v>1.91117E-3</v>
      </c>
      <c r="EO37">
        <v>3.48001</v>
      </c>
      <c r="EP37">
        <v>408.20699999999999</v>
      </c>
      <c r="EQ37">
        <v>404.38400000000001</v>
      </c>
      <c r="ER37">
        <v>0.73957099999999998</v>
      </c>
      <c r="ES37">
        <v>400.01400000000001</v>
      </c>
      <c r="ET37">
        <v>10.8041</v>
      </c>
      <c r="EU37">
        <v>1.1778299999999999</v>
      </c>
      <c r="EV37">
        <v>1.1023700000000001</v>
      </c>
      <c r="EW37">
        <v>9.3242100000000008</v>
      </c>
      <c r="EX37">
        <v>8.3445400000000003</v>
      </c>
      <c r="EY37">
        <v>1499.96</v>
      </c>
      <c r="EZ37">
        <v>0.99300699999999997</v>
      </c>
      <c r="FA37">
        <v>6.9928500000000001E-3</v>
      </c>
      <c r="FB37">
        <v>0</v>
      </c>
      <c r="FC37">
        <v>686.58799999999997</v>
      </c>
      <c r="FD37">
        <v>5.0001800000000003</v>
      </c>
      <c r="FE37">
        <v>17252.2</v>
      </c>
      <c r="FF37">
        <v>12870.4</v>
      </c>
      <c r="FG37">
        <v>38.75</v>
      </c>
      <c r="FH37">
        <v>38.5</v>
      </c>
      <c r="FI37">
        <v>39.311999999999998</v>
      </c>
      <c r="FJ37">
        <v>38</v>
      </c>
      <c r="FK37">
        <v>39.436999999999998</v>
      </c>
      <c r="FL37">
        <v>1484.51</v>
      </c>
      <c r="FM37">
        <v>10.45</v>
      </c>
      <c r="FN37">
        <v>0</v>
      </c>
      <c r="FO37">
        <v>1685738100.7</v>
      </c>
      <c r="FP37">
        <v>0</v>
      </c>
      <c r="FQ37">
        <v>722.71868000000006</v>
      </c>
      <c r="FR37">
        <v>216.4916917496468</v>
      </c>
      <c r="FS37">
        <v>-1019440.39115944</v>
      </c>
      <c r="FT37">
        <v>63410.68</v>
      </c>
      <c r="FU37">
        <v>15</v>
      </c>
      <c r="FV37">
        <v>1707843540</v>
      </c>
      <c r="FW37" t="s">
        <v>487</v>
      </c>
      <c r="FX37">
        <v>1707843539.5</v>
      </c>
      <c r="FY37">
        <v>1707843540</v>
      </c>
      <c r="FZ37">
        <v>1</v>
      </c>
      <c r="GA37">
        <v>-0.112</v>
      </c>
      <c r="GB37">
        <v>6.8000000000000005E-2</v>
      </c>
      <c r="GC37">
        <v>-2.09</v>
      </c>
      <c r="GD37">
        <v>0.03</v>
      </c>
      <c r="GE37">
        <v>400</v>
      </c>
      <c r="GF37">
        <v>11</v>
      </c>
      <c r="GG37">
        <v>0.28000000000000003</v>
      </c>
      <c r="GH37">
        <v>0.05</v>
      </c>
      <c r="GI37">
        <v>-45.564904401545043</v>
      </c>
      <c r="GJ37">
        <v>209.52807608992501</v>
      </c>
      <c r="GK37">
        <v>87.22318605809042</v>
      </c>
      <c r="GL37">
        <v>0</v>
      </c>
      <c r="GM37">
        <v>3.2208867069965653E-2</v>
      </c>
      <c r="GN37">
        <v>0.20524437520318889</v>
      </c>
      <c r="GO37">
        <v>2.1838511239407679E-2</v>
      </c>
      <c r="GP37">
        <v>0</v>
      </c>
      <c r="GQ37">
        <v>0</v>
      </c>
      <c r="GR37">
        <v>2</v>
      </c>
      <c r="GS37" t="s">
        <v>442</v>
      </c>
      <c r="GT37">
        <v>3.3652600000000001</v>
      </c>
      <c r="GU37">
        <v>2.7714099999999999</v>
      </c>
      <c r="GV37">
        <v>9.8624600000000007E-2</v>
      </c>
      <c r="GW37">
        <v>9.7322400000000003E-2</v>
      </c>
      <c r="GX37">
        <v>6.8812799999999993E-2</v>
      </c>
      <c r="GY37">
        <v>6.5029299999999998E-2</v>
      </c>
      <c r="GZ37">
        <v>21348.3</v>
      </c>
      <c r="HA37">
        <v>22002.1</v>
      </c>
      <c r="HB37">
        <v>25138.400000000001</v>
      </c>
      <c r="HC37">
        <v>25781.8</v>
      </c>
      <c r="HD37">
        <v>35614.199999999997</v>
      </c>
      <c r="HE37">
        <v>36004.199999999997</v>
      </c>
      <c r="HF37">
        <v>42058.400000000001</v>
      </c>
      <c r="HG37">
        <v>41681.9</v>
      </c>
      <c r="HH37">
        <v>2.39032</v>
      </c>
      <c r="HI37">
        <v>2.3970799999999999</v>
      </c>
      <c r="HJ37">
        <v>4.8398999999999998E-2</v>
      </c>
      <c r="HK37">
        <v>0</v>
      </c>
      <c r="HL37">
        <v>23.291799999999999</v>
      </c>
      <c r="HM37">
        <v>999.9</v>
      </c>
      <c r="HN37">
        <v>35.5</v>
      </c>
      <c r="HO37">
        <v>28.2</v>
      </c>
      <c r="HP37">
        <v>13.358000000000001</v>
      </c>
      <c r="HQ37">
        <v>60.760199999999998</v>
      </c>
      <c r="HR37">
        <v>8.6578499999999998</v>
      </c>
      <c r="HS37">
        <v>2</v>
      </c>
      <c r="HT37">
        <v>-0.36228500000000002</v>
      </c>
      <c r="HU37">
        <v>0</v>
      </c>
      <c r="HV37">
        <v>20.366800000000001</v>
      </c>
      <c r="HW37">
        <v>5.2029100000000001</v>
      </c>
      <c r="HX37">
        <v>11.914099999999999</v>
      </c>
      <c r="HY37">
        <v>4.9917999999999996</v>
      </c>
      <c r="HZ37">
        <v>3.2812399999999999</v>
      </c>
      <c r="IA37">
        <v>9999</v>
      </c>
      <c r="IB37">
        <v>9999</v>
      </c>
      <c r="IC37">
        <v>9999</v>
      </c>
      <c r="ID37">
        <v>150.4</v>
      </c>
      <c r="IE37">
        <v>4.9719499999999996</v>
      </c>
      <c r="IF37">
        <v>1.85836</v>
      </c>
      <c r="IG37">
        <v>1.8675299999999999</v>
      </c>
      <c r="IH37">
        <v>1.86276</v>
      </c>
      <c r="II37">
        <v>1.8649199999999999</v>
      </c>
      <c r="IJ37">
        <v>1.86111</v>
      </c>
      <c r="IK37">
        <v>1.8633999999999999</v>
      </c>
      <c r="IL37">
        <v>1.861</v>
      </c>
      <c r="IM37">
        <v>0</v>
      </c>
      <c r="IN37">
        <v>0</v>
      </c>
      <c r="IO37">
        <v>0</v>
      </c>
      <c r="IP37">
        <v>0</v>
      </c>
      <c r="IQ37" t="s">
        <v>443</v>
      </c>
      <c r="IR37" t="s">
        <v>444</v>
      </c>
      <c r="IS37" t="s">
        <v>445</v>
      </c>
      <c r="IT37" t="s">
        <v>445</v>
      </c>
      <c r="IU37" t="s">
        <v>445</v>
      </c>
      <c r="IV37" t="s">
        <v>445</v>
      </c>
      <c r="IW37">
        <v>0</v>
      </c>
      <c r="IX37">
        <v>100</v>
      </c>
      <c r="IY37">
        <v>100</v>
      </c>
      <c r="IZ37">
        <v>-2.0960000000000001</v>
      </c>
      <c r="JA37">
        <v>4.0099999999999997E-2</v>
      </c>
      <c r="JB37">
        <v>-1.252214354925264</v>
      </c>
      <c r="JC37">
        <v>-2.4932477295996069E-3</v>
      </c>
      <c r="JD37">
        <v>1.159696634280317E-6</v>
      </c>
      <c r="JE37">
        <v>-3.5013845820821591E-10</v>
      </c>
      <c r="JF37">
        <v>-1.8539783221661419E-2</v>
      </c>
      <c r="JG37">
        <v>-7.5935071553627593E-3</v>
      </c>
      <c r="JH37">
        <v>1.367325239740887E-3</v>
      </c>
      <c r="JI37">
        <v>-2.2944115828177239E-5</v>
      </c>
      <c r="JJ37">
        <v>2</v>
      </c>
      <c r="JK37">
        <v>2118</v>
      </c>
      <c r="JL37">
        <v>1</v>
      </c>
      <c r="JM37">
        <v>27</v>
      </c>
      <c r="JN37">
        <v>2.5</v>
      </c>
      <c r="JO37">
        <v>2.5</v>
      </c>
      <c r="JP37">
        <v>1.27319</v>
      </c>
      <c r="JQ37">
        <v>2.50366</v>
      </c>
      <c r="JR37">
        <v>2.19604</v>
      </c>
      <c r="JS37">
        <v>2.6843300000000001</v>
      </c>
      <c r="JT37">
        <v>2.1484399999999999</v>
      </c>
      <c r="JU37">
        <v>2.4475099999999999</v>
      </c>
      <c r="JV37">
        <v>32.0244</v>
      </c>
      <c r="JW37">
        <v>14.158300000000001</v>
      </c>
      <c r="JX37">
        <v>18</v>
      </c>
      <c r="JY37">
        <v>658.87599999999998</v>
      </c>
      <c r="JZ37">
        <v>738.51400000000001</v>
      </c>
      <c r="KA37">
        <v>23.821899999999999</v>
      </c>
      <c r="KB37">
        <v>22.813500000000001</v>
      </c>
      <c r="KC37">
        <v>30</v>
      </c>
      <c r="KD37">
        <v>22.764199999999999</v>
      </c>
      <c r="KE37">
        <v>22.736000000000001</v>
      </c>
      <c r="KF37">
        <v>25.549499999999998</v>
      </c>
      <c r="KG37">
        <v>21.6297</v>
      </c>
      <c r="KH37">
        <v>6.39785</v>
      </c>
      <c r="KI37">
        <v>-999.9</v>
      </c>
      <c r="KJ37">
        <v>400</v>
      </c>
      <c r="KK37">
        <v>10.763</v>
      </c>
      <c r="KL37">
        <v>101.92700000000001</v>
      </c>
      <c r="KM37">
        <v>101.959</v>
      </c>
    </row>
    <row r="38" spans="1:299" x14ac:dyDescent="0.2">
      <c r="A38">
        <v>22</v>
      </c>
      <c r="B38" t="s">
        <v>538</v>
      </c>
      <c r="C38">
        <v>22</v>
      </c>
      <c r="D38">
        <v>1707844343.5</v>
      </c>
      <c r="E38">
        <v>7416.5</v>
      </c>
      <c r="F38" t="s">
        <v>488</v>
      </c>
      <c r="G38" t="s">
        <v>489</v>
      </c>
      <c r="H38" t="s">
        <v>436</v>
      </c>
      <c r="I38" t="s">
        <v>437</v>
      </c>
      <c r="J38" t="s">
        <v>438</v>
      </c>
      <c r="M38" t="s">
        <v>438</v>
      </c>
      <c r="O38">
        <v>1707844343.5</v>
      </c>
      <c r="P38">
        <f t="shared" si="0"/>
        <v>5.0337439179089151E-4</v>
      </c>
      <c r="Q38">
        <f t="shared" si="1"/>
        <v>0.5033743917908915</v>
      </c>
      <c r="R38">
        <f t="shared" si="2"/>
        <v>4.6229170390855217</v>
      </c>
      <c r="S38">
        <f t="shared" si="3"/>
        <v>397.32299999999998</v>
      </c>
      <c r="T38">
        <f t="shared" si="4"/>
        <v>162.51603326433667</v>
      </c>
      <c r="U38">
        <f t="shared" si="5"/>
        <v>16.596383772518507</v>
      </c>
      <c r="V38">
        <f t="shared" si="6"/>
        <v>40.575227300329495</v>
      </c>
      <c r="W38">
        <f t="shared" si="7"/>
        <v>3.2630917057998629E-2</v>
      </c>
      <c r="X38">
        <f t="shared" si="8"/>
        <v>2.9675384970322867</v>
      </c>
      <c r="Y38">
        <f t="shared" si="9"/>
        <v>3.2432885348454649E-2</v>
      </c>
      <c r="Z38">
        <f t="shared" si="10"/>
        <v>2.0288245369157073E-2</v>
      </c>
      <c r="AA38">
        <f t="shared" si="11"/>
        <v>162.09228130411429</v>
      </c>
      <c r="AB38">
        <f t="shared" si="12"/>
        <v>25.683803092433948</v>
      </c>
      <c r="AC38">
        <f t="shared" si="13"/>
        <v>24.904199999999999</v>
      </c>
      <c r="AD38">
        <f t="shared" si="14"/>
        <v>3.1615620906909947</v>
      </c>
      <c r="AE38">
        <f t="shared" si="15"/>
        <v>51.151299512823776</v>
      </c>
      <c r="AF38">
        <f t="shared" si="16"/>
        <v>1.6136425065197999</v>
      </c>
      <c r="AG38">
        <f t="shared" si="17"/>
        <v>3.1546461612676233</v>
      </c>
      <c r="AH38">
        <f t="shared" si="18"/>
        <v>1.5479195841711948</v>
      </c>
      <c r="AI38">
        <f t="shared" si="19"/>
        <v>-22.198810677978315</v>
      </c>
      <c r="AJ38">
        <f t="shared" si="20"/>
        <v>-5.8714838310885273</v>
      </c>
      <c r="AK38">
        <f t="shared" si="21"/>
        <v>-0.4180347061837168</v>
      </c>
      <c r="AL38">
        <f t="shared" si="22"/>
        <v>133.60395208886374</v>
      </c>
      <c r="AM38">
        <f t="shared" si="23"/>
        <v>3.0384282632389898</v>
      </c>
      <c r="AN38">
        <f t="shared" si="24"/>
        <v>0.46076332545823034</v>
      </c>
      <c r="AO38">
        <f t="shared" si="25"/>
        <v>4.6229170390855217</v>
      </c>
      <c r="AP38">
        <v>406.37308541097462</v>
      </c>
      <c r="AQ38">
        <v>403.84710909090899</v>
      </c>
      <c r="AR38">
        <v>-0.38018486562289572</v>
      </c>
      <c r="AS38">
        <v>67.023713527807558</v>
      </c>
      <c r="AT38">
        <f t="shared" si="26"/>
        <v>0.5033743917908915</v>
      </c>
      <c r="AU38">
        <v>15.542482772534861</v>
      </c>
      <c r="AV38">
        <v>15.796447272727271</v>
      </c>
      <c r="AW38">
        <v>3.6934063663656598E-2</v>
      </c>
      <c r="AX38">
        <v>78.576790753634398</v>
      </c>
      <c r="AY38">
        <v>0</v>
      </c>
      <c r="AZ38">
        <v>0</v>
      </c>
      <c r="BA38">
        <f t="shared" si="27"/>
        <v>1</v>
      </c>
      <c r="BB38">
        <f t="shared" si="28"/>
        <v>0</v>
      </c>
      <c r="BC38">
        <f t="shared" si="29"/>
        <v>54414.630328440908</v>
      </c>
      <c r="BD38" t="s">
        <v>439</v>
      </c>
      <c r="BE38" t="s">
        <v>439</v>
      </c>
      <c r="BF38">
        <v>0</v>
      </c>
      <c r="BG38">
        <v>0</v>
      </c>
      <c r="BH38" t="e">
        <f t="shared" si="30"/>
        <v>#DIV/0!</v>
      </c>
      <c r="BI38">
        <v>0</v>
      </c>
      <c r="BJ38" t="s">
        <v>439</v>
      </c>
      <c r="BK38" t="s">
        <v>439</v>
      </c>
      <c r="BL38">
        <v>0</v>
      </c>
      <c r="BM38">
        <v>0</v>
      </c>
      <c r="BN38" t="e">
        <f t="shared" si="31"/>
        <v>#DIV/0!</v>
      </c>
      <c r="BO38">
        <v>0.5</v>
      </c>
      <c r="BP38">
        <f t="shared" si="32"/>
        <v>714.23058065205726</v>
      </c>
      <c r="BQ38">
        <f t="shared" si="33"/>
        <v>4.6229170390855217</v>
      </c>
      <c r="BR38" t="e">
        <f t="shared" si="34"/>
        <v>#DIV/0!</v>
      </c>
      <c r="BS38">
        <f t="shared" si="35"/>
        <v>6.4725834545827296E-3</v>
      </c>
      <c r="BT38" t="e">
        <f t="shared" si="36"/>
        <v>#DIV/0!</v>
      </c>
      <c r="BU38" t="e">
        <f t="shared" si="37"/>
        <v>#DIV/0!</v>
      </c>
      <c r="BV38" t="s">
        <v>439</v>
      </c>
      <c r="BW38">
        <v>0</v>
      </c>
      <c r="BX38" t="e">
        <f t="shared" si="38"/>
        <v>#DIV/0!</v>
      </c>
      <c r="BY38" t="e">
        <f t="shared" si="39"/>
        <v>#DIV/0!</v>
      </c>
      <c r="BZ38" t="e">
        <f t="shared" si="40"/>
        <v>#DIV/0!</v>
      </c>
      <c r="CA38" t="e">
        <f t="shared" si="41"/>
        <v>#DIV/0!</v>
      </c>
      <c r="CB38" t="e">
        <f t="shared" si="42"/>
        <v>#DIV/0!</v>
      </c>
      <c r="CC38" t="e">
        <f t="shared" si="43"/>
        <v>#DIV/0!</v>
      </c>
      <c r="CD38" t="e">
        <f t="shared" si="44"/>
        <v>#DIV/0!</v>
      </c>
      <c r="CE38" t="e">
        <f t="shared" si="45"/>
        <v>#DIV/0!</v>
      </c>
      <c r="DN38">
        <f t="shared" si="46"/>
        <v>849.91200000000003</v>
      </c>
      <c r="DO38">
        <f t="shared" si="47"/>
        <v>714.23058065205726</v>
      </c>
      <c r="DP38">
        <f t="shared" si="48"/>
        <v>0.84035827315305256</v>
      </c>
      <c r="DQ38">
        <f t="shared" si="49"/>
        <v>0.19071654630610496</v>
      </c>
      <c r="DR38">
        <v>6</v>
      </c>
      <c r="DS38">
        <v>0.5</v>
      </c>
      <c r="DT38" t="s">
        <v>440</v>
      </c>
      <c r="DU38">
        <v>2</v>
      </c>
      <c r="DV38" t="b">
        <v>1</v>
      </c>
      <c r="DW38">
        <v>1707844343.5</v>
      </c>
      <c r="DX38">
        <v>397.32299999999998</v>
      </c>
      <c r="DY38">
        <v>400.08499999999998</v>
      </c>
      <c r="DZ38">
        <v>15.8012</v>
      </c>
      <c r="EA38">
        <v>15.4124</v>
      </c>
      <c r="EB38">
        <v>399.40800000000002</v>
      </c>
      <c r="EC38">
        <v>15.690899999999999</v>
      </c>
      <c r="ED38">
        <v>699.81899999999996</v>
      </c>
      <c r="EE38">
        <v>102.044</v>
      </c>
      <c r="EF38">
        <v>7.7516500000000002E-2</v>
      </c>
      <c r="EG38">
        <v>24.8675</v>
      </c>
      <c r="EH38">
        <v>24.904199999999999</v>
      </c>
      <c r="EI38">
        <v>999.9</v>
      </c>
      <c r="EJ38">
        <v>0</v>
      </c>
      <c r="EK38">
        <v>0</v>
      </c>
      <c r="EL38">
        <v>10013.5</v>
      </c>
      <c r="EM38">
        <v>0</v>
      </c>
      <c r="EN38">
        <v>1.91117E-3</v>
      </c>
      <c r="EO38">
        <v>-2.7622100000000001</v>
      </c>
      <c r="EP38">
        <v>403.702</v>
      </c>
      <c r="EQ38">
        <v>406.34800000000001</v>
      </c>
      <c r="ER38">
        <v>0.38882699999999998</v>
      </c>
      <c r="ES38">
        <v>400.08499999999998</v>
      </c>
      <c r="ET38">
        <v>15.4124</v>
      </c>
      <c r="EU38">
        <v>1.6124099999999999</v>
      </c>
      <c r="EV38">
        <v>1.57273</v>
      </c>
      <c r="EW38">
        <v>14.0779</v>
      </c>
      <c r="EX38">
        <v>13.6942</v>
      </c>
      <c r="EY38">
        <v>849.91200000000003</v>
      </c>
      <c r="EZ38">
        <v>0.98798299999999994</v>
      </c>
      <c r="FA38">
        <v>1.20173E-2</v>
      </c>
      <c r="FB38">
        <v>0</v>
      </c>
      <c r="FC38">
        <v>1281.75</v>
      </c>
      <c r="FD38">
        <v>5.0001800000000003</v>
      </c>
      <c r="FE38">
        <v>19805.599999999999</v>
      </c>
      <c r="FF38">
        <v>7263.52</v>
      </c>
      <c r="FG38">
        <v>39.311999999999998</v>
      </c>
      <c r="FH38">
        <v>39.811999999999998</v>
      </c>
      <c r="FI38">
        <v>39.936999999999998</v>
      </c>
      <c r="FJ38">
        <v>39.936999999999998</v>
      </c>
      <c r="FK38">
        <v>40.686999999999998</v>
      </c>
      <c r="FL38">
        <v>834.76</v>
      </c>
      <c r="FM38">
        <v>10.15</v>
      </c>
      <c r="FN38">
        <v>0</v>
      </c>
      <c r="FO38">
        <v>1685738752.9000001</v>
      </c>
      <c r="FP38">
        <v>0</v>
      </c>
      <c r="FQ38">
        <v>1408.637307692308</v>
      </c>
      <c r="FR38">
        <v>-1222.932307275594</v>
      </c>
      <c r="FS38">
        <v>-27451.152108614839</v>
      </c>
      <c r="FT38">
        <v>21391.715384615389</v>
      </c>
      <c r="FU38">
        <v>15</v>
      </c>
      <c r="FV38">
        <v>1707843540</v>
      </c>
      <c r="FW38" t="s">
        <v>487</v>
      </c>
      <c r="FX38">
        <v>1707843539.5</v>
      </c>
      <c r="FY38">
        <v>1707843540</v>
      </c>
      <c r="FZ38">
        <v>1</v>
      </c>
      <c r="GA38">
        <v>-0.112</v>
      </c>
      <c r="GB38">
        <v>6.8000000000000005E-2</v>
      </c>
      <c r="GC38">
        <v>-2.09</v>
      </c>
      <c r="GD38">
        <v>0.03</v>
      </c>
      <c r="GE38">
        <v>400</v>
      </c>
      <c r="GF38">
        <v>11</v>
      </c>
      <c r="GG38">
        <v>0.28000000000000003</v>
      </c>
      <c r="GH38">
        <v>0.05</v>
      </c>
      <c r="GI38">
        <v>-6.4743813096220144</v>
      </c>
      <c r="GJ38">
        <v>195.03132120008269</v>
      </c>
      <c r="GK38">
        <v>41.339429303494512</v>
      </c>
      <c r="GL38">
        <v>0</v>
      </c>
      <c r="GM38">
        <v>-3.5330626730116783E-2</v>
      </c>
      <c r="GN38">
        <v>1.0966426732702299</v>
      </c>
      <c r="GO38">
        <v>0.1561646584813379</v>
      </c>
      <c r="GP38">
        <v>0</v>
      </c>
      <c r="GQ38">
        <v>0</v>
      </c>
      <c r="GR38">
        <v>2</v>
      </c>
      <c r="GS38" t="s">
        <v>442</v>
      </c>
      <c r="GT38">
        <v>3.3667699999999998</v>
      </c>
      <c r="GU38">
        <v>2.7718400000000001</v>
      </c>
      <c r="GV38">
        <v>9.7534899999999994E-2</v>
      </c>
      <c r="GW38">
        <v>9.7393900000000005E-2</v>
      </c>
      <c r="GX38">
        <v>8.6897799999999997E-2</v>
      </c>
      <c r="GY38">
        <v>8.4837300000000004E-2</v>
      </c>
      <c r="GZ38">
        <v>21376.7</v>
      </c>
      <c r="HA38">
        <v>22002.7</v>
      </c>
      <c r="HB38">
        <v>25140.7</v>
      </c>
      <c r="HC38">
        <v>25783.599999999999</v>
      </c>
      <c r="HD38">
        <v>34919.800000000003</v>
      </c>
      <c r="HE38">
        <v>35243.4</v>
      </c>
      <c r="HF38">
        <v>42063.1</v>
      </c>
      <c r="HG38">
        <v>41686</v>
      </c>
      <c r="HH38">
        <v>2.43608</v>
      </c>
      <c r="HI38">
        <v>2.40794</v>
      </c>
      <c r="HJ38">
        <v>7.1793800000000005E-2</v>
      </c>
      <c r="HK38">
        <v>0</v>
      </c>
      <c r="HL38">
        <v>23.725000000000001</v>
      </c>
      <c r="HM38">
        <v>999.9</v>
      </c>
      <c r="HN38">
        <v>48.4</v>
      </c>
      <c r="HO38">
        <v>28.4</v>
      </c>
      <c r="HP38">
        <v>18.4239</v>
      </c>
      <c r="HQ38">
        <v>60.810200000000002</v>
      </c>
      <c r="HR38">
        <v>8.4495199999999997</v>
      </c>
      <c r="HS38">
        <v>2</v>
      </c>
      <c r="HT38">
        <v>-0.36457099999999998</v>
      </c>
      <c r="HU38">
        <v>0</v>
      </c>
      <c r="HV38">
        <v>20.3735</v>
      </c>
      <c r="HW38">
        <v>5.2038700000000002</v>
      </c>
      <c r="HX38">
        <v>11.914099999999999</v>
      </c>
      <c r="HY38">
        <v>4.9921199999999999</v>
      </c>
      <c r="HZ38">
        <v>3.2809400000000002</v>
      </c>
      <c r="IA38">
        <v>9999</v>
      </c>
      <c r="IB38">
        <v>9999</v>
      </c>
      <c r="IC38">
        <v>9999</v>
      </c>
      <c r="ID38">
        <v>150.5</v>
      </c>
      <c r="IE38">
        <v>4.9719800000000003</v>
      </c>
      <c r="IF38">
        <v>1.85832</v>
      </c>
      <c r="IG38">
        <v>1.8675200000000001</v>
      </c>
      <c r="IH38">
        <v>1.86269</v>
      </c>
      <c r="II38">
        <v>1.8649199999999999</v>
      </c>
      <c r="IJ38">
        <v>1.86111</v>
      </c>
      <c r="IK38">
        <v>1.86338</v>
      </c>
      <c r="IL38">
        <v>1.86097</v>
      </c>
      <c r="IM38">
        <v>0</v>
      </c>
      <c r="IN38">
        <v>0</v>
      </c>
      <c r="IO38">
        <v>0</v>
      </c>
      <c r="IP38">
        <v>0</v>
      </c>
      <c r="IQ38" t="s">
        <v>443</v>
      </c>
      <c r="IR38" t="s">
        <v>444</v>
      </c>
      <c r="IS38" t="s">
        <v>445</v>
      </c>
      <c r="IT38" t="s">
        <v>445</v>
      </c>
      <c r="IU38" t="s">
        <v>445</v>
      </c>
      <c r="IV38" t="s">
        <v>445</v>
      </c>
      <c r="IW38">
        <v>0</v>
      </c>
      <c r="IX38">
        <v>100</v>
      </c>
      <c r="IY38">
        <v>100</v>
      </c>
      <c r="IZ38">
        <v>-2.085</v>
      </c>
      <c r="JA38">
        <v>0.1103</v>
      </c>
      <c r="JB38">
        <v>-1.252214354925264</v>
      </c>
      <c r="JC38">
        <v>-2.4932477295996069E-3</v>
      </c>
      <c r="JD38">
        <v>1.159696634280317E-6</v>
      </c>
      <c r="JE38">
        <v>-3.5013845820821591E-10</v>
      </c>
      <c r="JF38">
        <v>-1.8539783221661419E-2</v>
      </c>
      <c r="JG38">
        <v>-7.5935071553627593E-3</v>
      </c>
      <c r="JH38">
        <v>1.367325239740887E-3</v>
      </c>
      <c r="JI38">
        <v>-2.2944115828177239E-5</v>
      </c>
      <c r="JJ38">
        <v>2</v>
      </c>
      <c r="JK38">
        <v>2118</v>
      </c>
      <c r="JL38">
        <v>1</v>
      </c>
      <c r="JM38">
        <v>27</v>
      </c>
      <c r="JN38">
        <v>13.4</v>
      </c>
      <c r="JO38">
        <v>13.4</v>
      </c>
      <c r="JP38">
        <v>1.2780800000000001</v>
      </c>
      <c r="JQ38">
        <v>2.5146500000000001</v>
      </c>
      <c r="JR38">
        <v>2.19604</v>
      </c>
      <c r="JS38">
        <v>2.67944</v>
      </c>
      <c r="JT38">
        <v>2.1496599999999999</v>
      </c>
      <c r="JU38">
        <v>2.4548299999999998</v>
      </c>
      <c r="JV38">
        <v>31.8049</v>
      </c>
      <c r="JW38">
        <v>14.097</v>
      </c>
      <c r="JX38">
        <v>18</v>
      </c>
      <c r="JY38">
        <v>692.09500000000003</v>
      </c>
      <c r="JZ38">
        <v>747.74599999999998</v>
      </c>
      <c r="KA38">
        <v>23.864000000000001</v>
      </c>
      <c r="KB38">
        <v>22.787400000000002</v>
      </c>
      <c r="KC38">
        <v>30.000900000000001</v>
      </c>
      <c r="KD38">
        <v>22.732700000000001</v>
      </c>
      <c r="KE38">
        <v>22.719000000000001</v>
      </c>
      <c r="KF38">
        <v>25.6496</v>
      </c>
      <c r="KG38">
        <v>26.1966</v>
      </c>
      <c r="KH38">
        <v>34.739800000000002</v>
      </c>
      <c r="KI38">
        <v>-999.9</v>
      </c>
      <c r="KJ38">
        <v>400</v>
      </c>
      <c r="KK38">
        <v>15.106299999999999</v>
      </c>
      <c r="KL38">
        <v>101.938</v>
      </c>
      <c r="KM38">
        <v>101.968</v>
      </c>
    </row>
    <row r="39" spans="1:299" x14ac:dyDescent="0.2">
      <c r="A39">
        <v>23</v>
      </c>
      <c r="B39" t="s">
        <v>538</v>
      </c>
      <c r="C39">
        <v>1</v>
      </c>
      <c r="D39">
        <v>1707854661</v>
      </c>
      <c r="E39">
        <v>0</v>
      </c>
      <c r="F39" t="s">
        <v>490</v>
      </c>
      <c r="G39" t="s">
        <v>491</v>
      </c>
      <c r="H39" t="s">
        <v>436</v>
      </c>
      <c r="I39" t="s">
        <v>437</v>
      </c>
      <c r="J39" t="s">
        <v>438</v>
      </c>
      <c r="M39" t="s">
        <v>438</v>
      </c>
      <c r="O39">
        <v>1707854661</v>
      </c>
      <c r="P39">
        <f t="shared" si="0"/>
        <v>4.8780289152700534E-4</v>
      </c>
      <c r="Q39">
        <f t="shared" si="1"/>
        <v>0.48780289152700534</v>
      </c>
      <c r="R39">
        <f t="shared" si="2"/>
        <v>2.7418601340650586</v>
      </c>
      <c r="S39">
        <f t="shared" si="3"/>
        <v>399.66500000000002</v>
      </c>
      <c r="T39">
        <f t="shared" si="4"/>
        <v>221.09417483739307</v>
      </c>
      <c r="U39">
        <f t="shared" si="5"/>
        <v>22.563599705991837</v>
      </c>
      <c r="V39">
        <f t="shared" si="6"/>
        <v>40.787510946986998</v>
      </c>
      <c r="W39">
        <f t="shared" si="7"/>
        <v>2.6031994969198006E-2</v>
      </c>
      <c r="X39">
        <f t="shared" si="8"/>
        <v>2.9642828042038909</v>
      </c>
      <c r="Y39">
        <f t="shared" si="9"/>
        <v>2.5905654930197718E-2</v>
      </c>
      <c r="Z39">
        <f t="shared" si="10"/>
        <v>1.6202334237097497E-2</v>
      </c>
      <c r="AA39">
        <f t="shared" si="11"/>
        <v>162.14187202004263</v>
      </c>
      <c r="AB39">
        <f t="shared" si="12"/>
        <v>28.198249728127781</v>
      </c>
      <c r="AC39">
        <f t="shared" si="13"/>
        <v>27.4069</v>
      </c>
      <c r="AD39">
        <f t="shared" si="14"/>
        <v>3.6655927725314101</v>
      </c>
      <c r="AE39">
        <f t="shared" si="15"/>
        <v>49.060224862653655</v>
      </c>
      <c r="AF39">
        <f t="shared" si="16"/>
        <v>1.7953281218728199</v>
      </c>
      <c r="AG39">
        <f t="shared" si="17"/>
        <v>3.6594372057994495</v>
      </c>
      <c r="AH39">
        <f t="shared" si="18"/>
        <v>1.8702646506585903</v>
      </c>
      <c r="AI39">
        <f t="shared" si="19"/>
        <v>-21.512107516340937</v>
      </c>
      <c r="AJ39">
        <f t="shared" si="20"/>
        <v>-4.5865588973049913</v>
      </c>
      <c r="AK39">
        <f t="shared" si="21"/>
        <v>-0.33523242729743213</v>
      </c>
      <c r="AL39">
        <f t="shared" si="22"/>
        <v>135.70797317909927</v>
      </c>
      <c r="AM39">
        <f t="shared" si="23"/>
        <v>-1.1713126743944586</v>
      </c>
      <c r="AN39">
        <f t="shared" si="24"/>
        <v>-0.66861047528686857</v>
      </c>
      <c r="AO39">
        <f t="shared" si="25"/>
        <v>2.7418601340650586</v>
      </c>
      <c r="AP39">
        <v>405.8004649191567</v>
      </c>
      <c r="AQ39">
        <v>407.20618181818168</v>
      </c>
      <c r="AR39">
        <v>-0.97224094828001995</v>
      </c>
      <c r="AS39">
        <v>67.029682771915901</v>
      </c>
      <c r="AT39">
        <f t="shared" si="26"/>
        <v>0.48780289152700534</v>
      </c>
      <c r="AU39">
        <v>18.168814108507181</v>
      </c>
      <c r="AV39">
        <v>17.522990303030301</v>
      </c>
      <c r="AW39">
        <v>0.23051920074247489</v>
      </c>
      <c r="AX39">
        <v>78.622106708537331</v>
      </c>
      <c r="AY39">
        <v>23</v>
      </c>
      <c r="AZ39">
        <v>3</v>
      </c>
      <c r="BA39">
        <f t="shared" si="27"/>
        <v>1</v>
      </c>
      <c r="BB39">
        <f t="shared" si="28"/>
        <v>0</v>
      </c>
      <c r="BC39">
        <f t="shared" si="29"/>
        <v>53862.819114359219</v>
      </c>
      <c r="BD39" t="s">
        <v>439</v>
      </c>
      <c r="BE39" t="s">
        <v>439</v>
      </c>
      <c r="BF39">
        <v>0</v>
      </c>
      <c r="BG39">
        <v>0</v>
      </c>
      <c r="BH39" t="e">
        <f t="shared" si="30"/>
        <v>#DIV/0!</v>
      </c>
      <c r="BI39">
        <v>0</v>
      </c>
      <c r="BJ39" t="s">
        <v>439</v>
      </c>
      <c r="BK39" t="s">
        <v>439</v>
      </c>
      <c r="BL39">
        <v>0</v>
      </c>
      <c r="BM39">
        <v>0</v>
      </c>
      <c r="BN39" t="e">
        <f t="shared" si="31"/>
        <v>#DIV/0!</v>
      </c>
      <c r="BO39">
        <v>0.5</v>
      </c>
      <c r="BP39">
        <f t="shared" si="32"/>
        <v>714.4498210100212</v>
      </c>
      <c r="BQ39">
        <f t="shared" si="33"/>
        <v>2.7418601340650586</v>
      </c>
      <c r="BR39" t="e">
        <f t="shared" si="34"/>
        <v>#DIV/0!</v>
      </c>
      <c r="BS39">
        <f t="shared" si="35"/>
        <v>3.8377224732016554E-3</v>
      </c>
      <c r="BT39" t="e">
        <f t="shared" si="36"/>
        <v>#DIV/0!</v>
      </c>
      <c r="BU39" t="e">
        <f t="shared" si="37"/>
        <v>#DIV/0!</v>
      </c>
      <c r="BV39" t="s">
        <v>439</v>
      </c>
      <c r="BW39">
        <v>0</v>
      </c>
      <c r="BX39" t="e">
        <f t="shared" si="38"/>
        <v>#DIV/0!</v>
      </c>
      <c r="BY39" t="e">
        <f t="shared" si="39"/>
        <v>#DIV/0!</v>
      </c>
      <c r="BZ39" t="e">
        <f t="shared" si="40"/>
        <v>#DIV/0!</v>
      </c>
      <c r="CA39" t="e">
        <f t="shared" si="41"/>
        <v>#DIV/0!</v>
      </c>
      <c r="CB39" t="e">
        <f t="shared" si="42"/>
        <v>#DIV/0!</v>
      </c>
      <c r="CC39" t="e">
        <f t="shared" si="43"/>
        <v>#DIV/0!</v>
      </c>
      <c r="CD39" t="e">
        <f t="shared" si="44"/>
        <v>#DIV/0!</v>
      </c>
      <c r="CE39" t="e">
        <f t="shared" si="45"/>
        <v>#DIV/0!</v>
      </c>
      <c r="DN39">
        <f t="shared" si="46"/>
        <v>850.173</v>
      </c>
      <c r="DO39">
        <f t="shared" si="47"/>
        <v>714.4498210100212</v>
      </c>
      <c r="DP39">
        <f t="shared" si="48"/>
        <v>0.84035816358555404</v>
      </c>
      <c r="DQ39">
        <f t="shared" si="49"/>
        <v>0.19071632717110826</v>
      </c>
      <c r="DR39">
        <v>6</v>
      </c>
      <c r="DS39">
        <v>0.5</v>
      </c>
      <c r="DT39" t="s">
        <v>440</v>
      </c>
      <c r="DU39">
        <v>2</v>
      </c>
      <c r="DV39" t="b">
        <v>1</v>
      </c>
      <c r="DW39">
        <v>1707854661</v>
      </c>
      <c r="DX39">
        <v>399.66500000000002</v>
      </c>
      <c r="DY39">
        <v>398.43200000000002</v>
      </c>
      <c r="DZ39">
        <v>17.591899999999999</v>
      </c>
      <c r="EA39">
        <v>18.154900000000001</v>
      </c>
      <c r="EB39">
        <v>401.755</v>
      </c>
      <c r="EC39">
        <v>17.448499999999999</v>
      </c>
      <c r="ED39">
        <v>700.01599999999996</v>
      </c>
      <c r="EE39">
        <v>101.968</v>
      </c>
      <c r="EF39">
        <v>8.6247799999999999E-2</v>
      </c>
      <c r="EG39">
        <v>27.3782</v>
      </c>
      <c r="EH39">
        <v>27.4069</v>
      </c>
      <c r="EI39">
        <v>999.9</v>
      </c>
      <c r="EJ39">
        <v>0</v>
      </c>
      <c r="EK39">
        <v>0</v>
      </c>
      <c r="EL39">
        <v>10002.5</v>
      </c>
      <c r="EM39">
        <v>0</v>
      </c>
      <c r="EN39">
        <v>1.91117E-3</v>
      </c>
      <c r="EO39">
        <v>1.2335499999999999</v>
      </c>
      <c r="EP39">
        <v>406.822</v>
      </c>
      <c r="EQ39">
        <v>405.79899999999998</v>
      </c>
      <c r="ER39">
        <v>-0.56309699999999996</v>
      </c>
      <c r="ES39">
        <v>398.43200000000002</v>
      </c>
      <c r="ET39">
        <v>18.154900000000001</v>
      </c>
      <c r="EU39">
        <v>1.7938000000000001</v>
      </c>
      <c r="EV39">
        <v>1.8512200000000001</v>
      </c>
      <c r="EW39">
        <v>15.732900000000001</v>
      </c>
      <c r="EX39">
        <v>16.226099999999999</v>
      </c>
      <c r="EY39">
        <v>850.173</v>
      </c>
      <c r="EZ39">
        <v>0.98799300000000001</v>
      </c>
      <c r="FA39">
        <v>1.2007200000000001E-2</v>
      </c>
      <c r="FB39">
        <v>0</v>
      </c>
      <c r="FC39">
        <v>375.59</v>
      </c>
      <c r="FD39">
        <v>5.0001800000000003</v>
      </c>
      <c r="FE39">
        <v>5801.39</v>
      </c>
      <c r="FF39">
        <v>7265.79</v>
      </c>
      <c r="FG39">
        <v>35.186999999999998</v>
      </c>
      <c r="FH39">
        <v>38.061999999999998</v>
      </c>
      <c r="FI39">
        <v>36.625</v>
      </c>
      <c r="FJ39">
        <v>37.25</v>
      </c>
      <c r="FK39">
        <v>36.811999999999998</v>
      </c>
      <c r="FL39">
        <v>835.02</v>
      </c>
      <c r="FM39">
        <v>10.15</v>
      </c>
      <c r="FN39">
        <v>0</v>
      </c>
      <c r="FO39">
        <v>1685749071.4000001</v>
      </c>
      <c r="FP39">
        <v>0</v>
      </c>
      <c r="FQ39">
        <v>426.06407692307693</v>
      </c>
      <c r="FR39">
        <v>-692.50618720495459</v>
      </c>
      <c r="FS39">
        <v>-24892.340956960659</v>
      </c>
      <c r="FT39">
        <v>7090.7892307692318</v>
      </c>
      <c r="FU39">
        <v>15</v>
      </c>
      <c r="FV39">
        <v>1707843540</v>
      </c>
      <c r="FW39" t="s">
        <v>487</v>
      </c>
      <c r="FX39">
        <v>1707843539.5</v>
      </c>
      <c r="FY39">
        <v>1707843540</v>
      </c>
      <c r="FZ39">
        <v>1</v>
      </c>
      <c r="GA39">
        <v>-0.112</v>
      </c>
      <c r="GB39">
        <v>6.8000000000000005E-2</v>
      </c>
      <c r="GC39">
        <v>-2.09</v>
      </c>
      <c r="GD39">
        <v>0.03</v>
      </c>
      <c r="GE39">
        <v>400</v>
      </c>
      <c r="GF39">
        <v>11</v>
      </c>
      <c r="GG39">
        <v>0.28000000000000003</v>
      </c>
      <c r="GH39">
        <v>0.05</v>
      </c>
      <c r="GI39">
        <v>-16.50010612652143</v>
      </c>
      <c r="GJ39">
        <v>81.315705101246849</v>
      </c>
      <c r="GK39">
        <v>22.803848114722619</v>
      </c>
      <c r="GL39">
        <v>0</v>
      </c>
      <c r="GM39">
        <v>-0.15487767696755081</v>
      </c>
      <c r="GN39">
        <v>0.60163475186507731</v>
      </c>
      <c r="GO39">
        <v>0.22106993053069041</v>
      </c>
      <c r="GP39">
        <v>0</v>
      </c>
      <c r="GQ39">
        <v>0</v>
      </c>
      <c r="GR39">
        <v>2</v>
      </c>
      <c r="GS39" t="s">
        <v>442</v>
      </c>
      <c r="GT39">
        <v>3.3678300000000001</v>
      </c>
      <c r="GU39">
        <v>2.7804799999999998</v>
      </c>
      <c r="GV39">
        <v>9.6702499999999997E-2</v>
      </c>
      <c r="GW39">
        <v>9.58344E-2</v>
      </c>
      <c r="GX39">
        <v>9.2744599999999996E-2</v>
      </c>
      <c r="GY39">
        <v>9.4347899999999998E-2</v>
      </c>
      <c r="GZ39">
        <v>21197.4</v>
      </c>
      <c r="HA39">
        <v>21804.3</v>
      </c>
      <c r="HB39">
        <v>24929.7</v>
      </c>
      <c r="HC39">
        <v>25530.5</v>
      </c>
      <c r="HD39">
        <v>34393.1</v>
      </c>
      <c r="HE39">
        <v>34560.800000000003</v>
      </c>
      <c r="HF39">
        <v>41685.599999999999</v>
      </c>
      <c r="HG39">
        <v>41306.300000000003</v>
      </c>
      <c r="HH39">
        <v>2.3767200000000002</v>
      </c>
      <c r="HI39">
        <v>2.3143799999999999</v>
      </c>
      <c r="HJ39">
        <v>7.7962900000000002E-2</v>
      </c>
      <c r="HK39">
        <v>0</v>
      </c>
      <c r="HL39">
        <v>26.131499999999999</v>
      </c>
      <c r="HM39">
        <v>999.9</v>
      </c>
      <c r="HN39">
        <v>60.3</v>
      </c>
      <c r="HO39">
        <v>31.7</v>
      </c>
      <c r="HP39">
        <v>27.761900000000001</v>
      </c>
      <c r="HQ39">
        <v>61.03</v>
      </c>
      <c r="HR39">
        <v>8.7219499999999996</v>
      </c>
      <c r="HS39">
        <v>2</v>
      </c>
      <c r="HT39">
        <v>1.02947E-2</v>
      </c>
      <c r="HU39">
        <v>0</v>
      </c>
      <c r="HV39">
        <v>20.332699999999999</v>
      </c>
      <c r="HW39">
        <v>5.2018399999999998</v>
      </c>
      <c r="HX39">
        <v>11.9201</v>
      </c>
      <c r="HY39">
        <v>4.9899199999999997</v>
      </c>
      <c r="HZ39">
        <v>3.2814000000000001</v>
      </c>
      <c r="IA39">
        <v>9999</v>
      </c>
      <c r="IB39">
        <v>9999</v>
      </c>
      <c r="IC39">
        <v>9999</v>
      </c>
      <c r="ID39">
        <v>153.4</v>
      </c>
      <c r="IE39">
        <v>4.9725799999999998</v>
      </c>
      <c r="IF39">
        <v>1.85944</v>
      </c>
      <c r="IG39">
        <v>1.86859</v>
      </c>
      <c r="IH39">
        <v>1.8638600000000001</v>
      </c>
      <c r="II39">
        <v>1.8658699999999999</v>
      </c>
      <c r="IJ39">
        <v>1.8621799999999999</v>
      </c>
      <c r="IK39">
        <v>1.8643099999999999</v>
      </c>
      <c r="IL39">
        <v>1.86206</v>
      </c>
      <c r="IM39">
        <v>0</v>
      </c>
      <c r="IN39">
        <v>0</v>
      </c>
      <c r="IO39">
        <v>0</v>
      </c>
      <c r="IP39">
        <v>0</v>
      </c>
      <c r="IQ39" t="s">
        <v>443</v>
      </c>
      <c r="IR39" t="s">
        <v>444</v>
      </c>
      <c r="IS39" t="s">
        <v>445</v>
      </c>
      <c r="IT39" t="s">
        <v>445</v>
      </c>
      <c r="IU39" t="s">
        <v>445</v>
      </c>
      <c r="IV39" t="s">
        <v>445</v>
      </c>
      <c r="IW39">
        <v>0</v>
      </c>
      <c r="IX39">
        <v>100</v>
      </c>
      <c r="IY39">
        <v>100</v>
      </c>
      <c r="IZ39">
        <v>-2.09</v>
      </c>
      <c r="JA39">
        <v>0.1434</v>
      </c>
      <c r="JB39">
        <v>-1.252214354925264</v>
      </c>
      <c r="JC39">
        <v>-2.4932477295996069E-3</v>
      </c>
      <c r="JD39">
        <v>1.159696634280317E-6</v>
      </c>
      <c r="JE39">
        <v>-3.5013845820821591E-10</v>
      </c>
      <c r="JF39">
        <v>-1.8539783221661419E-2</v>
      </c>
      <c r="JG39">
        <v>-7.5935071553627593E-3</v>
      </c>
      <c r="JH39">
        <v>1.367325239740887E-3</v>
      </c>
      <c r="JI39">
        <v>-2.2944115828177239E-5</v>
      </c>
      <c r="JJ39">
        <v>2</v>
      </c>
      <c r="JK39">
        <v>2118</v>
      </c>
      <c r="JL39">
        <v>1</v>
      </c>
      <c r="JM39">
        <v>27</v>
      </c>
      <c r="JN39">
        <v>185.4</v>
      </c>
      <c r="JO39">
        <v>185.3</v>
      </c>
      <c r="JP39">
        <v>1.18896</v>
      </c>
      <c r="JQ39">
        <v>2.50488</v>
      </c>
      <c r="JR39">
        <v>2.19604</v>
      </c>
      <c r="JS39">
        <v>2.6916500000000001</v>
      </c>
      <c r="JT39">
        <v>2.1484399999999999</v>
      </c>
      <c r="JU39">
        <v>2.4841299999999999</v>
      </c>
      <c r="JV39">
        <v>37.313800000000001</v>
      </c>
      <c r="JW39">
        <v>23.912400000000002</v>
      </c>
      <c r="JX39">
        <v>18</v>
      </c>
      <c r="JY39">
        <v>705.78599999999994</v>
      </c>
      <c r="JZ39">
        <v>731.08900000000006</v>
      </c>
      <c r="KA39">
        <v>27.307500000000001</v>
      </c>
      <c r="KB39">
        <v>27.575099999999999</v>
      </c>
      <c r="KC39">
        <v>29.999400000000001</v>
      </c>
      <c r="KD39">
        <v>27.6052</v>
      </c>
      <c r="KE39">
        <v>27.599799999999998</v>
      </c>
      <c r="KF39">
        <v>23.889600000000002</v>
      </c>
      <c r="KG39">
        <v>41.572400000000002</v>
      </c>
      <c r="KH39">
        <v>90.364500000000007</v>
      </c>
      <c r="KI39">
        <v>-999.9</v>
      </c>
      <c r="KJ39">
        <v>400</v>
      </c>
      <c r="KK39">
        <v>18.2254</v>
      </c>
      <c r="KL39">
        <v>101.045</v>
      </c>
      <c r="KM39">
        <v>101.012</v>
      </c>
    </row>
    <row r="40" spans="1:299" x14ac:dyDescent="0.2">
      <c r="A40">
        <v>24</v>
      </c>
      <c r="B40" t="s">
        <v>538</v>
      </c>
      <c r="C40">
        <v>2</v>
      </c>
      <c r="D40">
        <v>1707854856</v>
      </c>
      <c r="E40">
        <v>195</v>
      </c>
      <c r="F40" t="s">
        <v>492</v>
      </c>
      <c r="G40" t="s">
        <v>493</v>
      </c>
      <c r="H40" t="s">
        <v>436</v>
      </c>
      <c r="I40" t="s">
        <v>437</v>
      </c>
      <c r="J40" t="s">
        <v>438</v>
      </c>
      <c r="M40" t="s">
        <v>438</v>
      </c>
      <c r="O40">
        <v>1707854856</v>
      </c>
      <c r="P40">
        <f t="shared" si="0"/>
        <v>7.7335217132656843E-4</v>
      </c>
      <c r="Q40">
        <f t="shared" si="1"/>
        <v>0.77335217132656842</v>
      </c>
      <c r="R40">
        <f t="shared" si="2"/>
        <v>5.1196561469130701</v>
      </c>
      <c r="S40">
        <f t="shared" si="3"/>
        <v>399.70699999999999</v>
      </c>
      <c r="T40">
        <f t="shared" si="4"/>
        <v>178.84650345944377</v>
      </c>
      <c r="U40">
        <f t="shared" si="5"/>
        <v>18.249805884181963</v>
      </c>
      <c r="V40">
        <f t="shared" si="6"/>
        <v>40.786792134311298</v>
      </c>
      <c r="W40">
        <f t="shared" si="7"/>
        <v>3.8951202294546863E-2</v>
      </c>
      <c r="X40">
        <f t="shared" si="8"/>
        <v>2.9654830052184979</v>
      </c>
      <c r="Y40">
        <f t="shared" si="9"/>
        <v>3.8669191401953205E-2</v>
      </c>
      <c r="Z40">
        <f t="shared" si="10"/>
        <v>2.419341183540423E-2</v>
      </c>
      <c r="AA40">
        <f t="shared" si="11"/>
        <v>266.56849992470376</v>
      </c>
      <c r="AB40">
        <f t="shared" si="12"/>
        <v>28.987212127722675</v>
      </c>
      <c r="AC40">
        <f t="shared" si="13"/>
        <v>27.915099999999999</v>
      </c>
      <c r="AD40">
        <f t="shared" si="14"/>
        <v>3.7760980840057461</v>
      </c>
      <c r="AE40">
        <f t="shared" si="15"/>
        <v>48.219823081197411</v>
      </c>
      <c r="AF40">
        <f t="shared" si="16"/>
        <v>1.7910159646516197</v>
      </c>
      <c r="AG40">
        <f t="shared" si="17"/>
        <v>3.7142731976343546</v>
      </c>
      <c r="AH40">
        <f t="shared" si="18"/>
        <v>1.9850821193541264</v>
      </c>
      <c r="AI40">
        <f t="shared" si="19"/>
        <v>-34.104830755501666</v>
      </c>
      <c r="AJ40">
        <f t="shared" si="20"/>
        <v>-45.196696361053668</v>
      </c>
      <c r="AK40">
        <f t="shared" si="21"/>
        <v>-3.3146856433707028</v>
      </c>
      <c r="AL40">
        <f t="shared" si="22"/>
        <v>183.95228716477772</v>
      </c>
      <c r="AM40">
        <f t="shared" si="23"/>
        <v>0.20434589791974339</v>
      </c>
      <c r="AN40">
        <f t="shared" si="24"/>
        <v>-0.62215760858095925</v>
      </c>
      <c r="AO40">
        <f t="shared" si="25"/>
        <v>5.1196561469130701</v>
      </c>
      <c r="AP40">
        <v>407.03911930641482</v>
      </c>
      <c r="AQ40">
        <v>407.33061212121203</v>
      </c>
      <c r="AR40">
        <v>-1.2192586169993871</v>
      </c>
      <c r="AS40">
        <v>67.02971697313869</v>
      </c>
      <c r="AT40">
        <f t="shared" si="26"/>
        <v>0.77335217132656842</v>
      </c>
      <c r="AU40">
        <v>18.0949050623937</v>
      </c>
      <c r="AV40">
        <v>17.468170909090919</v>
      </c>
      <c r="AW40">
        <v>0.27906771888391368</v>
      </c>
      <c r="AX40">
        <v>78.621849148315917</v>
      </c>
      <c r="AY40">
        <v>235</v>
      </c>
      <c r="AZ40">
        <v>34</v>
      </c>
      <c r="BA40">
        <f t="shared" si="27"/>
        <v>1</v>
      </c>
      <c r="BB40">
        <f t="shared" si="28"/>
        <v>0</v>
      </c>
      <c r="BC40">
        <f t="shared" si="29"/>
        <v>53852.33642265838</v>
      </c>
      <c r="BD40" t="s">
        <v>439</v>
      </c>
      <c r="BE40" t="s">
        <v>439</v>
      </c>
      <c r="BF40">
        <v>0</v>
      </c>
      <c r="BG40">
        <v>0</v>
      </c>
      <c r="BH40" t="e">
        <f t="shared" si="30"/>
        <v>#DIV/0!</v>
      </c>
      <c r="BI40">
        <v>0</v>
      </c>
      <c r="BJ40" t="s">
        <v>439</v>
      </c>
      <c r="BK40" t="s">
        <v>439</v>
      </c>
      <c r="BL40">
        <v>0</v>
      </c>
      <c r="BM40">
        <v>0</v>
      </c>
      <c r="BN40" t="e">
        <f t="shared" si="31"/>
        <v>#DIV/0!</v>
      </c>
      <c r="BO40">
        <v>0.5</v>
      </c>
      <c r="BP40">
        <f t="shared" si="32"/>
        <v>1176.2171999623517</v>
      </c>
      <c r="BQ40">
        <f t="shared" si="33"/>
        <v>5.1196561469130701</v>
      </c>
      <c r="BR40" t="e">
        <f t="shared" si="34"/>
        <v>#DIV/0!</v>
      </c>
      <c r="BS40">
        <f t="shared" si="35"/>
        <v>4.3526451977380877E-3</v>
      </c>
      <c r="BT40" t="e">
        <f t="shared" si="36"/>
        <v>#DIV/0!</v>
      </c>
      <c r="BU40" t="e">
        <f t="shared" si="37"/>
        <v>#DIV/0!</v>
      </c>
      <c r="BV40" t="s">
        <v>439</v>
      </c>
      <c r="BW40">
        <v>0</v>
      </c>
      <c r="BX40" t="e">
        <f t="shared" si="38"/>
        <v>#DIV/0!</v>
      </c>
      <c r="BY40" t="e">
        <f t="shared" si="39"/>
        <v>#DIV/0!</v>
      </c>
      <c r="BZ40" t="e">
        <f t="shared" si="40"/>
        <v>#DIV/0!</v>
      </c>
      <c r="CA40" t="e">
        <f t="shared" si="41"/>
        <v>#DIV/0!</v>
      </c>
      <c r="CB40" t="e">
        <f t="shared" si="42"/>
        <v>#DIV/0!</v>
      </c>
      <c r="CC40" t="e">
        <f t="shared" si="43"/>
        <v>#DIV/0!</v>
      </c>
      <c r="CD40" t="e">
        <f t="shared" si="44"/>
        <v>#DIV/0!</v>
      </c>
      <c r="CE40" t="e">
        <f t="shared" si="45"/>
        <v>#DIV/0!</v>
      </c>
      <c r="DN40">
        <f t="shared" si="46"/>
        <v>1399.91</v>
      </c>
      <c r="DO40">
        <f t="shared" si="47"/>
        <v>1176.2171999623517</v>
      </c>
      <c r="DP40">
        <f t="shared" si="48"/>
        <v>0.84020915627601178</v>
      </c>
      <c r="DQ40">
        <f t="shared" si="49"/>
        <v>0.19041831255202388</v>
      </c>
      <c r="DR40">
        <v>6</v>
      </c>
      <c r="DS40">
        <v>0.5</v>
      </c>
      <c r="DT40" t="s">
        <v>440</v>
      </c>
      <c r="DU40">
        <v>2</v>
      </c>
      <c r="DV40" t="b">
        <v>1</v>
      </c>
      <c r="DW40">
        <v>1707854856</v>
      </c>
      <c r="DX40">
        <v>399.70699999999999</v>
      </c>
      <c r="DY40">
        <v>399.66899999999998</v>
      </c>
      <c r="DZ40">
        <v>17.5518</v>
      </c>
      <c r="EA40">
        <v>18.075700000000001</v>
      </c>
      <c r="EB40">
        <v>401.79700000000003</v>
      </c>
      <c r="EC40">
        <v>17.409099999999999</v>
      </c>
      <c r="ED40">
        <v>700.024</v>
      </c>
      <c r="EE40">
        <v>101.96599999999999</v>
      </c>
      <c r="EF40">
        <v>7.5725899999999999E-2</v>
      </c>
      <c r="EG40">
        <v>27.632400000000001</v>
      </c>
      <c r="EH40">
        <v>27.915099999999999</v>
      </c>
      <c r="EI40">
        <v>999.9</v>
      </c>
      <c r="EJ40">
        <v>0</v>
      </c>
      <c r="EK40">
        <v>0</v>
      </c>
      <c r="EL40">
        <v>10009.5</v>
      </c>
      <c r="EM40">
        <v>0</v>
      </c>
      <c r="EN40">
        <v>1.91117E-3</v>
      </c>
      <c r="EO40">
        <v>3.8238500000000002E-2</v>
      </c>
      <c r="EP40">
        <v>406.84800000000001</v>
      </c>
      <c r="EQ40">
        <v>407.02600000000001</v>
      </c>
      <c r="ER40">
        <v>-0.52397300000000002</v>
      </c>
      <c r="ES40">
        <v>399.66899999999998</v>
      </c>
      <c r="ET40">
        <v>18.075700000000001</v>
      </c>
      <c r="EU40">
        <v>1.7896799999999999</v>
      </c>
      <c r="EV40">
        <v>1.84311</v>
      </c>
      <c r="EW40">
        <v>15.696999999999999</v>
      </c>
      <c r="EX40">
        <v>16.157299999999999</v>
      </c>
      <c r="EY40">
        <v>1399.91</v>
      </c>
      <c r="EZ40">
        <v>0.99300600000000006</v>
      </c>
      <c r="FA40">
        <v>6.9939599999999996E-3</v>
      </c>
      <c r="FB40">
        <v>0</v>
      </c>
      <c r="FC40">
        <v>509.80799999999999</v>
      </c>
      <c r="FD40">
        <v>5.0001800000000003</v>
      </c>
      <c r="FE40">
        <v>9275.0499999999993</v>
      </c>
      <c r="FF40">
        <v>12009</v>
      </c>
      <c r="FG40">
        <v>38.061999999999998</v>
      </c>
      <c r="FH40">
        <v>42</v>
      </c>
      <c r="FI40">
        <v>39.311999999999998</v>
      </c>
      <c r="FJ40">
        <v>41.75</v>
      </c>
      <c r="FK40">
        <v>39.936999999999998</v>
      </c>
      <c r="FL40">
        <v>1385.15</v>
      </c>
      <c r="FM40">
        <v>9.76</v>
      </c>
      <c r="FN40">
        <v>0</v>
      </c>
      <c r="FO40">
        <v>1685749266.4000001</v>
      </c>
      <c r="FP40">
        <v>0</v>
      </c>
      <c r="FQ40">
        <v>592.68856000000005</v>
      </c>
      <c r="FR40">
        <v>-1095.010306017218</v>
      </c>
      <c r="FS40">
        <v>-69988.809049998556</v>
      </c>
      <c r="FT40">
        <v>12810.1744</v>
      </c>
      <c r="FU40">
        <v>15</v>
      </c>
      <c r="FV40">
        <v>1707843540</v>
      </c>
      <c r="FW40" t="s">
        <v>487</v>
      </c>
      <c r="FX40">
        <v>1707843539.5</v>
      </c>
      <c r="FY40">
        <v>1707843540</v>
      </c>
      <c r="FZ40">
        <v>1</v>
      </c>
      <c r="GA40">
        <v>-0.112</v>
      </c>
      <c r="GB40">
        <v>6.8000000000000005E-2</v>
      </c>
      <c r="GC40">
        <v>-2.09</v>
      </c>
      <c r="GD40">
        <v>0.03</v>
      </c>
      <c r="GE40">
        <v>400</v>
      </c>
      <c r="GF40">
        <v>11</v>
      </c>
      <c r="GG40">
        <v>0.28000000000000003</v>
      </c>
      <c r="GH40">
        <v>0.05</v>
      </c>
      <c r="GI40">
        <v>-20.690825068751479</v>
      </c>
      <c r="GJ40">
        <v>180.2360618231175</v>
      </c>
      <c r="GK40">
        <v>18.838958479560748</v>
      </c>
      <c r="GL40">
        <v>0</v>
      </c>
      <c r="GM40">
        <v>-0.17627474055976319</v>
      </c>
      <c r="GN40">
        <v>1.3912910253009021</v>
      </c>
      <c r="GO40">
        <v>0.152514600915968</v>
      </c>
      <c r="GP40">
        <v>0</v>
      </c>
      <c r="GQ40">
        <v>0</v>
      </c>
      <c r="GR40">
        <v>2</v>
      </c>
      <c r="GS40" t="s">
        <v>442</v>
      </c>
      <c r="GT40">
        <v>3.3678300000000001</v>
      </c>
      <c r="GU40">
        <v>2.7700300000000002</v>
      </c>
      <c r="GV40">
        <v>9.6758800000000006E-2</v>
      </c>
      <c r="GW40">
        <v>9.6107999999999999E-2</v>
      </c>
      <c r="GX40">
        <v>9.2635899999999993E-2</v>
      </c>
      <c r="GY40">
        <v>9.4093899999999994E-2</v>
      </c>
      <c r="GZ40">
        <v>21206.6</v>
      </c>
      <c r="HA40">
        <v>21810.400000000001</v>
      </c>
      <c r="HB40">
        <v>24941</v>
      </c>
      <c r="HC40">
        <v>25544.2</v>
      </c>
      <c r="HD40">
        <v>34413.199999999997</v>
      </c>
      <c r="HE40">
        <v>34588</v>
      </c>
      <c r="HF40">
        <v>41705.599999999999</v>
      </c>
      <c r="HG40">
        <v>41327.300000000003</v>
      </c>
      <c r="HH40">
        <v>2.0069599999999999</v>
      </c>
      <c r="HI40">
        <v>2.3155800000000002</v>
      </c>
      <c r="HJ40">
        <v>0.113666</v>
      </c>
      <c r="HK40">
        <v>0</v>
      </c>
      <c r="HL40">
        <v>26.0562</v>
      </c>
      <c r="HM40">
        <v>999.9</v>
      </c>
      <c r="HN40">
        <v>58.5</v>
      </c>
      <c r="HO40">
        <v>31.9</v>
      </c>
      <c r="HP40">
        <v>27.239699999999999</v>
      </c>
      <c r="HQ40">
        <v>61.15</v>
      </c>
      <c r="HR40">
        <v>7.9086499999999997</v>
      </c>
      <c r="HS40">
        <v>2</v>
      </c>
      <c r="HT40">
        <v>-8.4898400000000002E-3</v>
      </c>
      <c r="HU40">
        <v>0</v>
      </c>
      <c r="HV40">
        <v>20.3277</v>
      </c>
      <c r="HW40">
        <v>5.2026700000000003</v>
      </c>
      <c r="HX40">
        <v>11.9201</v>
      </c>
      <c r="HY40">
        <v>4.9907599999999999</v>
      </c>
      <c r="HZ40">
        <v>3.28138</v>
      </c>
      <c r="IA40">
        <v>9999</v>
      </c>
      <c r="IB40">
        <v>9999</v>
      </c>
      <c r="IC40">
        <v>9999</v>
      </c>
      <c r="ID40">
        <v>153.5</v>
      </c>
      <c r="IE40">
        <v>4.9725799999999998</v>
      </c>
      <c r="IF40">
        <v>1.8595200000000001</v>
      </c>
      <c r="IG40">
        <v>1.86859</v>
      </c>
      <c r="IH40">
        <v>1.8638999999999999</v>
      </c>
      <c r="II40">
        <v>1.86595</v>
      </c>
      <c r="IJ40">
        <v>1.86219</v>
      </c>
      <c r="IK40">
        <v>1.86432</v>
      </c>
      <c r="IL40">
        <v>1.8621799999999999</v>
      </c>
      <c r="IM40">
        <v>0</v>
      </c>
      <c r="IN40">
        <v>0</v>
      </c>
      <c r="IO40">
        <v>0</v>
      </c>
      <c r="IP40">
        <v>0</v>
      </c>
      <c r="IQ40" t="s">
        <v>443</v>
      </c>
      <c r="IR40" t="s">
        <v>444</v>
      </c>
      <c r="IS40" t="s">
        <v>445</v>
      </c>
      <c r="IT40" t="s">
        <v>445</v>
      </c>
      <c r="IU40" t="s">
        <v>445</v>
      </c>
      <c r="IV40" t="s">
        <v>445</v>
      </c>
      <c r="IW40">
        <v>0</v>
      </c>
      <c r="IX40">
        <v>100</v>
      </c>
      <c r="IY40">
        <v>100</v>
      </c>
      <c r="IZ40">
        <v>-2.09</v>
      </c>
      <c r="JA40">
        <v>0.14269999999999999</v>
      </c>
      <c r="JB40">
        <v>-1.252214354925264</v>
      </c>
      <c r="JC40">
        <v>-2.4932477295996069E-3</v>
      </c>
      <c r="JD40">
        <v>1.159696634280317E-6</v>
      </c>
      <c r="JE40">
        <v>-3.5013845820821591E-10</v>
      </c>
      <c r="JF40">
        <v>-1.8539783221661419E-2</v>
      </c>
      <c r="JG40">
        <v>-7.5935071553627593E-3</v>
      </c>
      <c r="JH40">
        <v>1.367325239740887E-3</v>
      </c>
      <c r="JI40">
        <v>-2.2944115828177239E-5</v>
      </c>
      <c r="JJ40">
        <v>2</v>
      </c>
      <c r="JK40">
        <v>2118</v>
      </c>
      <c r="JL40">
        <v>1</v>
      </c>
      <c r="JM40">
        <v>27</v>
      </c>
      <c r="JN40">
        <v>188.6</v>
      </c>
      <c r="JO40">
        <v>188.6</v>
      </c>
      <c r="JP40">
        <v>1.25244</v>
      </c>
      <c r="JQ40">
        <v>2.52441</v>
      </c>
      <c r="JR40">
        <v>2.19604</v>
      </c>
      <c r="JS40">
        <v>2.6831100000000001</v>
      </c>
      <c r="JT40">
        <v>2.1496599999999999</v>
      </c>
      <c r="JU40">
        <v>2.4169900000000002</v>
      </c>
      <c r="JV40">
        <v>38.305599999999998</v>
      </c>
      <c r="JW40">
        <v>23.8949</v>
      </c>
      <c r="JX40">
        <v>18</v>
      </c>
      <c r="JY40">
        <v>459.53699999999998</v>
      </c>
      <c r="JZ40">
        <v>729.63499999999999</v>
      </c>
      <c r="KA40">
        <v>27.295500000000001</v>
      </c>
      <c r="KB40">
        <v>27.343499999999999</v>
      </c>
      <c r="KC40">
        <v>29.9999</v>
      </c>
      <c r="KD40">
        <v>27.3978</v>
      </c>
      <c r="KE40">
        <v>27.401900000000001</v>
      </c>
      <c r="KF40">
        <v>25.148199999999999</v>
      </c>
      <c r="KG40">
        <v>39.1633</v>
      </c>
      <c r="KH40">
        <v>81.573400000000007</v>
      </c>
      <c r="KI40">
        <v>-999.9</v>
      </c>
      <c r="KJ40">
        <v>400</v>
      </c>
      <c r="KK40">
        <v>18.1845</v>
      </c>
      <c r="KL40">
        <v>101.092</v>
      </c>
      <c r="KM40">
        <v>101.06399999999999</v>
      </c>
    </row>
    <row r="41" spans="1:299" x14ac:dyDescent="0.2">
      <c r="A41">
        <v>25</v>
      </c>
      <c r="B41" t="s">
        <v>538</v>
      </c>
      <c r="C41">
        <v>3</v>
      </c>
      <c r="D41">
        <v>1707855007.5</v>
      </c>
      <c r="E41">
        <v>346.5</v>
      </c>
      <c r="F41" t="s">
        <v>494</v>
      </c>
      <c r="G41" t="s">
        <v>495</v>
      </c>
      <c r="H41" t="s">
        <v>436</v>
      </c>
      <c r="I41" t="s">
        <v>437</v>
      </c>
      <c r="J41" t="s">
        <v>438</v>
      </c>
      <c r="M41" t="s">
        <v>438</v>
      </c>
      <c r="O41">
        <v>1707855007.5</v>
      </c>
      <c r="P41">
        <f t="shared" si="0"/>
        <v>5.1815492899163563E-4</v>
      </c>
      <c r="Q41">
        <f t="shared" si="1"/>
        <v>0.51815492899163562</v>
      </c>
      <c r="R41">
        <f t="shared" si="2"/>
        <v>2.3029933893790902</v>
      </c>
      <c r="S41">
        <f t="shared" si="3"/>
        <v>402.47199999999998</v>
      </c>
      <c r="T41">
        <f t="shared" si="4"/>
        <v>244.00803158730699</v>
      </c>
      <c r="U41">
        <f t="shared" si="5"/>
        <v>24.896983023018933</v>
      </c>
      <c r="V41">
        <f t="shared" si="6"/>
        <v>41.065609545951197</v>
      </c>
      <c r="W41">
        <f t="shared" si="7"/>
        <v>2.5044428039494731E-2</v>
      </c>
      <c r="X41">
        <f t="shared" si="8"/>
        <v>2.9666321821067241</v>
      </c>
      <c r="Y41">
        <f t="shared" si="9"/>
        <v>2.4927560923695684E-2</v>
      </c>
      <c r="Z41">
        <f t="shared" si="10"/>
        <v>1.5590180036233522E-2</v>
      </c>
      <c r="AA41">
        <f t="shared" si="11"/>
        <v>266.60019992478999</v>
      </c>
      <c r="AB41">
        <f t="shared" si="12"/>
        <v>29.365171453665795</v>
      </c>
      <c r="AC41">
        <f t="shared" si="13"/>
        <v>28.2883</v>
      </c>
      <c r="AD41">
        <f t="shared" si="14"/>
        <v>3.8590887065168546</v>
      </c>
      <c r="AE41">
        <f t="shared" si="15"/>
        <v>47.503778204851649</v>
      </c>
      <c r="AF41">
        <f t="shared" si="16"/>
        <v>1.7969622297166499</v>
      </c>
      <c r="AG41">
        <f t="shared" si="17"/>
        <v>3.7827774918608954</v>
      </c>
      <c r="AH41">
        <f t="shared" si="18"/>
        <v>2.0621264768002048</v>
      </c>
      <c r="AI41">
        <f t="shared" si="19"/>
        <v>-22.85063236853113</v>
      </c>
      <c r="AJ41">
        <f t="shared" si="20"/>
        <v>-54.842422743775906</v>
      </c>
      <c r="AK41">
        <f t="shared" si="21"/>
        <v>-4.0343117289764878</v>
      </c>
      <c r="AL41">
        <f t="shared" si="22"/>
        <v>184.87283308350646</v>
      </c>
      <c r="AM41">
        <f t="shared" si="23"/>
        <v>-2.5789379553296512</v>
      </c>
      <c r="AN41">
        <f t="shared" si="24"/>
        <v>-1.1431057804524405</v>
      </c>
      <c r="AO41">
        <f t="shared" si="25"/>
        <v>2.3029933893790902</v>
      </c>
      <c r="AP41">
        <v>407.43090411135353</v>
      </c>
      <c r="AQ41">
        <v>410.17229090909109</v>
      </c>
      <c r="AR41">
        <v>-1.2186067807835721</v>
      </c>
      <c r="AS41">
        <v>67.029601398902741</v>
      </c>
      <c r="AT41">
        <f t="shared" si="26"/>
        <v>0.51815492899163562</v>
      </c>
      <c r="AU41">
        <v>18.548562407443949</v>
      </c>
      <c r="AV41">
        <v>17.511072727272719</v>
      </c>
      <c r="AW41">
        <v>0.32219659339724133</v>
      </c>
      <c r="AX41">
        <v>78.616584143349954</v>
      </c>
      <c r="AY41">
        <v>189</v>
      </c>
      <c r="AZ41">
        <v>27</v>
      </c>
      <c r="BA41">
        <f t="shared" si="27"/>
        <v>1</v>
      </c>
      <c r="BB41">
        <f t="shared" si="28"/>
        <v>0</v>
      </c>
      <c r="BC41">
        <f t="shared" si="29"/>
        <v>53829.695261027839</v>
      </c>
      <c r="BD41" t="s">
        <v>439</v>
      </c>
      <c r="BE41" t="s">
        <v>439</v>
      </c>
      <c r="BF41">
        <v>0</v>
      </c>
      <c r="BG41">
        <v>0</v>
      </c>
      <c r="BH41" t="e">
        <f t="shared" si="30"/>
        <v>#DIV/0!</v>
      </c>
      <c r="BI41">
        <v>0</v>
      </c>
      <c r="BJ41" t="s">
        <v>439</v>
      </c>
      <c r="BK41" t="s">
        <v>439</v>
      </c>
      <c r="BL41">
        <v>0</v>
      </c>
      <c r="BM41">
        <v>0</v>
      </c>
      <c r="BN41" t="e">
        <f t="shared" si="31"/>
        <v>#DIV/0!</v>
      </c>
      <c r="BO41">
        <v>0.5</v>
      </c>
      <c r="BP41">
        <f t="shared" si="32"/>
        <v>1176.3596999623949</v>
      </c>
      <c r="BQ41">
        <f t="shared" si="33"/>
        <v>2.3029933893790902</v>
      </c>
      <c r="BR41" t="e">
        <f t="shared" si="34"/>
        <v>#DIV/0!</v>
      </c>
      <c r="BS41">
        <f t="shared" si="35"/>
        <v>1.9577289067729121E-3</v>
      </c>
      <c r="BT41" t="e">
        <f t="shared" si="36"/>
        <v>#DIV/0!</v>
      </c>
      <c r="BU41" t="e">
        <f t="shared" si="37"/>
        <v>#DIV/0!</v>
      </c>
      <c r="BV41" t="s">
        <v>439</v>
      </c>
      <c r="BW41">
        <v>0</v>
      </c>
      <c r="BX41" t="e">
        <f t="shared" si="38"/>
        <v>#DIV/0!</v>
      </c>
      <c r="BY41" t="e">
        <f t="shared" si="39"/>
        <v>#DIV/0!</v>
      </c>
      <c r="BZ41" t="e">
        <f t="shared" si="40"/>
        <v>#DIV/0!</v>
      </c>
      <c r="CA41" t="e">
        <f t="shared" si="41"/>
        <v>#DIV/0!</v>
      </c>
      <c r="CB41" t="e">
        <f t="shared" si="42"/>
        <v>#DIV/0!</v>
      </c>
      <c r="CC41" t="e">
        <f t="shared" si="43"/>
        <v>#DIV/0!</v>
      </c>
      <c r="CD41" t="e">
        <f t="shared" si="44"/>
        <v>#DIV/0!</v>
      </c>
      <c r="CE41" t="e">
        <f t="shared" si="45"/>
        <v>#DIV/0!</v>
      </c>
      <c r="DN41">
        <f t="shared" si="46"/>
        <v>1400.08</v>
      </c>
      <c r="DO41">
        <f t="shared" si="47"/>
        <v>1176.3596999623949</v>
      </c>
      <c r="DP41">
        <f t="shared" si="48"/>
        <v>0.84020891660647601</v>
      </c>
      <c r="DQ41">
        <f t="shared" si="49"/>
        <v>0.19041783321295214</v>
      </c>
      <c r="DR41">
        <v>6</v>
      </c>
      <c r="DS41">
        <v>0.5</v>
      </c>
      <c r="DT41" t="s">
        <v>440</v>
      </c>
      <c r="DU41">
        <v>2</v>
      </c>
      <c r="DV41" t="b">
        <v>1</v>
      </c>
      <c r="DW41">
        <v>1707855007.5</v>
      </c>
      <c r="DX41">
        <v>402.47199999999998</v>
      </c>
      <c r="DY41">
        <v>399.86700000000002</v>
      </c>
      <c r="DZ41">
        <v>17.611499999999999</v>
      </c>
      <c r="EA41">
        <v>18.574100000000001</v>
      </c>
      <c r="EB41">
        <v>404.56599999999997</v>
      </c>
      <c r="EC41">
        <v>17.4678</v>
      </c>
      <c r="ED41">
        <v>699.96299999999997</v>
      </c>
      <c r="EE41">
        <v>101.956</v>
      </c>
      <c r="EF41">
        <v>7.7457100000000001E-2</v>
      </c>
      <c r="EG41">
        <v>27.945399999999999</v>
      </c>
      <c r="EH41">
        <v>28.2883</v>
      </c>
      <c r="EI41">
        <v>999.9</v>
      </c>
      <c r="EJ41">
        <v>0</v>
      </c>
      <c r="EK41">
        <v>0</v>
      </c>
      <c r="EL41">
        <v>10017</v>
      </c>
      <c r="EM41">
        <v>0</v>
      </c>
      <c r="EN41">
        <v>1.91117E-3</v>
      </c>
      <c r="EO41">
        <v>2.6051600000000001</v>
      </c>
      <c r="EP41">
        <v>409.68700000000001</v>
      </c>
      <c r="EQ41">
        <v>407.435</v>
      </c>
      <c r="ER41">
        <v>-0.96253999999999995</v>
      </c>
      <c r="ES41">
        <v>399.86700000000002</v>
      </c>
      <c r="ET41">
        <v>18.574100000000001</v>
      </c>
      <c r="EU41">
        <v>1.7956099999999999</v>
      </c>
      <c r="EV41">
        <v>1.89375</v>
      </c>
      <c r="EW41">
        <v>15.7486</v>
      </c>
      <c r="EX41">
        <v>16.582799999999999</v>
      </c>
      <c r="EY41">
        <v>1400.08</v>
      </c>
      <c r="EZ41">
        <v>0.99300900000000003</v>
      </c>
      <c r="FA41">
        <v>6.9908499999999998E-3</v>
      </c>
      <c r="FB41">
        <v>0</v>
      </c>
      <c r="FC41">
        <v>347.80500000000001</v>
      </c>
      <c r="FD41">
        <v>5.0001800000000003</v>
      </c>
      <c r="FE41">
        <v>7006.74</v>
      </c>
      <c r="FF41">
        <v>12010.5</v>
      </c>
      <c r="FG41">
        <v>37.25</v>
      </c>
      <c r="FH41">
        <v>39.5</v>
      </c>
      <c r="FI41">
        <v>38.25</v>
      </c>
      <c r="FJ41">
        <v>38.625</v>
      </c>
      <c r="FK41">
        <v>38.5</v>
      </c>
      <c r="FL41">
        <v>1385.33</v>
      </c>
      <c r="FM41">
        <v>9.75</v>
      </c>
      <c r="FN41">
        <v>0</v>
      </c>
      <c r="FO41">
        <v>1685749417.5999999</v>
      </c>
      <c r="FP41">
        <v>0</v>
      </c>
      <c r="FQ41">
        <v>347.05460000000011</v>
      </c>
      <c r="FR41">
        <v>176.44838498380949</v>
      </c>
      <c r="FS41">
        <v>-476419.67189160187</v>
      </c>
      <c r="FT41">
        <v>28332.948</v>
      </c>
      <c r="FU41">
        <v>15</v>
      </c>
      <c r="FV41">
        <v>1707843540</v>
      </c>
      <c r="FW41" t="s">
        <v>487</v>
      </c>
      <c r="FX41">
        <v>1707843539.5</v>
      </c>
      <c r="FY41">
        <v>1707843540</v>
      </c>
      <c r="FZ41">
        <v>1</v>
      </c>
      <c r="GA41">
        <v>-0.112</v>
      </c>
      <c r="GB41">
        <v>6.8000000000000005E-2</v>
      </c>
      <c r="GC41">
        <v>-2.09</v>
      </c>
      <c r="GD41">
        <v>0.03</v>
      </c>
      <c r="GE41">
        <v>400</v>
      </c>
      <c r="GF41">
        <v>11</v>
      </c>
      <c r="GG41">
        <v>0.28000000000000003</v>
      </c>
      <c r="GH41">
        <v>0.05</v>
      </c>
      <c r="GI41">
        <v>-21.02382256519201</v>
      </c>
      <c r="GJ41">
        <v>119.5981931853362</v>
      </c>
      <c r="GK41">
        <v>21.36279765213585</v>
      </c>
      <c r="GL41">
        <v>0</v>
      </c>
      <c r="GM41">
        <v>-0.19255681057747751</v>
      </c>
      <c r="GN41">
        <v>0.89435579758676065</v>
      </c>
      <c r="GO41">
        <v>0.2064832111203255</v>
      </c>
      <c r="GP41">
        <v>0</v>
      </c>
      <c r="GQ41">
        <v>0</v>
      </c>
      <c r="GR41">
        <v>2</v>
      </c>
      <c r="GS41" t="s">
        <v>442</v>
      </c>
      <c r="GT41">
        <v>3.3679700000000001</v>
      </c>
      <c r="GU41">
        <v>2.77182</v>
      </c>
      <c r="GV41">
        <v>9.7269599999999998E-2</v>
      </c>
      <c r="GW41">
        <v>9.61505E-2</v>
      </c>
      <c r="GX41">
        <v>9.2862399999999998E-2</v>
      </c>
      <c r="GY41">
        <v>9.5951700000000001E-2</v>
      </c>
      <c r="GZ41">
        <v>21193.1</v>
      </c>
      <c r="HA41">
        <v>21808.5</v>
      </c>
      <c r="HB41">
        <v>24939.200000000001</v>
      </c>
      <c r="HC41">
        <v>25543.1</v>
      </c>
      <c r="HD41">
        <v>34402.199999999997</v>
      </c>
      <c r="HE41">
        <v>34516.199999999997</v>
      </c>
      <c r="HF41">
        <v>41702.699999999997</v>
      </c>
      <c r="HG41">
        <v>41326.400000000001</v>
      </c>
      <c r="HH41">
        <v>2.0975600000000001</v>
      </c>
      <c r="HI41">
        <v>2.31406</v>
      </c>
      <c r="HJ41">
        <v>0.10219200000000001</v>
      </c>
      <c r="HK41">
        <v>0</v>
      </c>
      <c r="HL41">
        <v>26.618300000000001</v>
      </c>
      <c r="HM41">
        <v>999.9</v>
      </c>
      <c r="HN41">
        <v>55.6</v>
      </c>
      <c r="HO41">
        <v>32.1</v>
      </c>
      <c r="HP41">
        <v>26.1859</v>
      </c>
      <c r="HQ41">
        <v>61.2</v>
      </c>
      <c r="HR41">
        <v>8.2572100000000006</v>
      </c>
      <c r="HS41">
        <v>2</v>
      </c>
      <c r="HT41">
        <v>-7.1463400000000002E-3</v>
      </c>
      <c r="HU41">
        <v>0</v>
      </c>
      <c r="HV41">
        <v>20.326699999999999</v>
      </c>
      <c r="HW41">
        <v>5.2020799999999996</v>
      </c>
      <c r="HX41">
        <v>11.9201</v>
      </c>
      <c r="HY41">
        <v>4.9902800000000003</v>
      </c>
      <c r="HZ41">
        <v>3.2813400000000001</v>
      </c>
      <c r="IA41">
        <v>9999</v>
      </c>
      <c r="IB41">
        <v>9999</v>
      </c>
      <c r="IC41">
        <v>9999</v>
      </c>
      <c r="ID41">
        <v>153.5</v>
      </c>
      <c r="IE41">
        <v>4.9725900000000003</v>
      </c>
      <c r="IF41">
        <v>1.8595900000000001</v>
      </c>
      <c r="IG41">
        <v>1.8686400000000001</v>
      </c>
      <c r="IH41">
        <v>1.8640099999999999</v>
      </c>
      <c r="II41">
        <v>1.86599</v>
      </c>
      <c r="IJ41">
        <v>1.86229</v>
      </c>
      <c r="IK41">
        <v>1.86433</v>
      </c>
      <c r="IL41">
        <v>1.8621799999999999</v>
      </c>
      <c r="IM41">
        <v>0</v>
      </c>
      <c r="IN41">
        <v>0</v>
      </c>
      <c r="IO41">
        <v>0</v>
      </c>
      <c r="IP41">
        <v>0</v>
      </c>
      <c r="IQ41" t="s">
        <v>443</v>
      </c>
      <c r="IR41" t="s">
        <v>444</v>
      </c>
      <c r="IS41" t="s">
        <v>445</v>
      </c>
      <c r="IT41" t="s">
        <v>445</v>
      </c>
      <c r="IU41" t="s">
        <v>445</v>
      </c>
      <c r="IV41" t="s">
        <v>445</v>
      </c>
      <c r="IW41">
        <v>0</v>
      </c>
      <c r="IX41">
        <v>100</v>
      </c>
      <c r="IY41">
        <v>100</v>
      </c>
      <c r="IZ41">
        <v>-2.0939999999999999</v>
      </c>
      <c r="JA41">
        <v>0.14369999999999999</v>
      </c>
      <c r="JB41">
        <v>-1.252214354925264</v>
      </c>
      <c r="JC41">
        <v>-2.4932477295996069E-3</v>
      </c>
      <c r="JD41">
        <v>1.159696634280317E-6</v>
      </c>
      <c r="JE41">
        <v>-3.5013845820821591E-10</v>
      </c>
      <c r="JF41">
        <v>-1.8539783221661419E-2</v>
      </c>
      <c r="JG41">
        <v>-7.5935071553627593E-3</v>
      </c>
      <c r="JH41">
        <v>1.367325239740887E-3</v>
      </c>
      <c r="JI41">
        <v>-2.2944115828177239E-5</v>
      </c>
      <c r="JJ41">
        <v>2</v>
      </c>
      <c r="JK41">
        <v>2118</v>
      </c>
      <c r="JL41">
        <v>1</v>
      </c>
      <c r="JM41">
        <v>27</v>
      </c>
      <c r="JN41">
        <v>191.1</v>
      </c>
      <c r="JO41">
        <v>191.1</v>
      </c>
      <c r="JP41">
        <v>1.26709</v>
      </c>
      <c r="JQ41">
        <v>2.52441</v>
      </c>
      <c r="JR41">
        <v>2.19604</v>
      </c>
      <c r="JS41">
        <v>2.67944</v>
      </c>
      <c r="JT41">
        <v>2.1496599999999999</v>
      </c>
      <c r="JU41">
        <v>2.47437</v>
      </c>
      <c r="JV41">
        <v>39.068300000000001</v>
      </c>
      <c r="JW41">
        <v>23.903600000000001</v>
      </c>
      <c r="JX41">
        <v>18</v>
      </c>
      <c r="JY41">
        <v>511.54899999999998</v>
      </c>
      <c r="JZ41">
        <v>727.80899999999997</v>
      </c>
      <c r="KA41">
        <v>27.454699999999999</v>
      </c>
      <c r="KB41">
        <v>27.343</v>
      </c>
      <c r="KC41">
        <v>30</v>
      </c>
      <c r="KD41">
        <v>27.363199999999999</v>
      </c>
      <c r="KE41">
        <v>27.3627</v>
      </c>
      <c r="KF41">
        <v>25.4193</v>
      </c>
      <c r="KG41">
        <v>35.203800000000001</v>
      </c>
      <c r="KH41">
        <v>76.236000000000004</v>
      </c>
      <c r="KI41">
        <v>-999.9</v>
      </c>
      <c r="KJ41">
        <v>400</v>
      </c>
      <c r="KK41">
        <v>18.561199999999999</v>
      </c>
      <c r="KL41">
        <v>101.08499999999999</v>
      </c>
      <c r="KM41">
        <v>101.06100000000001</v>
      </c>
    </row>
    <row r="42" spans="1:299" x14ac:dyDescent="0.2">
      <c r="A42">
        <v>26</v>
      </c>
      <c r="B42" t="s">
        <v>538</v>
      </c>
      <c r="C42">
        <v>4</v>
      </c>
      <c r="D42">
        <v>1707855247.5</v>
      </c>
      <c r="E42">
        <v>586.5</v>
      </c>
      <c r="F42" t="s">
        <v>496</v>
      </c>
      <c r="G42" t="s">
        <v>497</v>
      </c>
      <c r="H42" t="s">
        <v>436</v>
      </c>
      <c r="I42" t="s">
        <v>437</v>
      </c>
      <c r="J42" t="s">
        <v>438</v>
      </c>
      <c r="M42" t="s">
        <v>438</v>
      </c>
      <c r="O42">
        <v>1707855247.5</v>
      </c>
      <c r="P42">
        <f t="shared" si="0"/>
        <v>7.1658059063489752E-4</v>
      </c>
      <c r="Q42">
        <f t="shared" si="1"/>
        <v>0.71658059063489754</v>
      </c>
      <c r="R42">
        <f t="shared" si="2"/>
        <v>3.3482504779324858</v>
      </c>
      <c r="S42">
        <f t="shared" si="3"/>
        <v>401.673</v>
      </c>
      <c r="T42">
        <f t="shared" si="4"/>
        <v>235.26648899469453</v>
      </c>
      <c r="U42">
        <f t="shared" si="5"/>
        <v>24.007010370303085</v>
      </c>
      <c r="V42">
        <f t="shared" si="6"/>
        <v>40.987426291247999</v>
      </c>
      <c r="W42">
        <f t="shared" si="7"/>
        <v>3.4578364300753589E-2</v>
      </c>
      <c r="X42">
        <f t="shared" si="8"/>
        <v>2.9651854543651974</v>
      </c>
      <c r="Y42">
        <f t="shared" si="9"/>
        <v>3.4355901478881179E-2</v>
      </c>
      <c r="Z42">
        <f t="shared" si="10"/>
        <v>2.149230636432076E-2</v>
      </c>
      <c r="AA42">
        <f t="shared" si="11"/>
        <v>266.57169992478197</v>
      </c>
      <c r="AB42">
        <f t="shared" si="12"/>
        <v>29.460121858893729</v>
      </c>
      <c r="AC42">
        <f t="shared" si="13"/>
        <v>28.418900000000001</v>
      </c>
      <c r="AD42">
        <f t="shared" si="14"/>
        <v>3.8885044454027633</v>
      </c>
      <c r="AE42">
        <f t="shared" si="15"/>
        <v>47.698087620318759</v>
      </c>
      <c r="AF42">
        <f t="shared" si="16"/>
        <v>1.8196905830527998</v>
      </c>
      <c r="AG42">
        <f t="shared" si="17"/>
        <v>3.8150179049896238</v>
      </c>
      <c r="AH42">
        <f t="shared" si="18"/>
        <v>2.0688138623499635</v>
      </c>
      <c r="AI42">
        <f t="shared" si="19"/>
        <v>-31.60120404699898</v>
      </c>
      <c r="AJ42">
        <f t="shared" si="20"/>
        <v>-52.417791746939947</v>
      </c>
      <c r="AK42">
        <f t="shared" si="21"/>
        <v>-3.863142883648873</v>
      </c>
      <c r="AL42">
        <f t="shared" si="22"/>
        <v>178.68956124719415</v>
      </c>
      <c r="AM42">
        <f t="shared" si="23"/>
        <v>-1.6262433737347735</v>
      </c>
      <c r="AN42">
        <f t="shared" si="24"/>
        <v>-0.90077318183027866</v>
      </c>
      <c r="AO42">
        <f t="shared" si="25"/>
        <v>3.3482504779324858</v>
      </c>
      <c r="AP42">
        <v>407.58430745677077</v>
      </c>
      <c r="AQ42">
        <v>409.454315151515</v>
      </c>
      <c r="AR42">
        <v>-1.229871912950357</v>
      </c>
      <c r="AS42">
        <v>67.029689492887968</v>
      </c>
      <c r="AT42">
        <f t="shared" si="26"/>
        <v>0.71658059063489754</v>
      </c>
      <c r="AU42">
        <v>18.61447932536657</v>
      </c>
      <c r="AV42">
        <v>17.73857393939393</v>
      </c>
      <c r="AW42">
        <v>0.32349677676052141</v>
      </c>
      <c r="AX42">
        <v>78.626276699599146</v>
      </c>
      <c r="AY42">
        <v>96</v>
      </c>
      <c r="AZ42">
        <v>14</v>
      </c>
      <c r="BA42">
        <f t="shared" si="27"/>
        <v>1</v>
      </c>
      <c r="BB42">
        <f t="shared" si="28"/>
        <v>0</v>
      </c>
      <c r="BC42">
        <f t="shared" si="29"/>
        <v>53761.470238888112</v>
      </c>
      <c r="BD42" t="s">
        <v>439</v>
      </c>
      <c r="BE42" t="s">
        <v>439</v>
      </c>
      <c r="BF42">
        <v>0</v>
      </c>
      <c r="BG42">
        <v>0</v>
      </c>
      <c r="BH42" t="e">
        <f t="shared" si="30"/>
        <v>#DIV/0!</v>
      </c>
      <c r="BI42">
        <v>0</v>
      </c>
      <c r="BJ42" t="s">
        <v>439</v>
      </c>
      <c r="BK42" t="s">
        <v>439</v>
      </c>
      <c r="BL42">
        <v>0</v>
      </c>
      <c r="BM42">
        <v>0</v>
      </c>
      <c r="BN42" t="e">
        <f t="shared" si="31"/>
        <v>#DIV/0!</v>
      </c>
      <c r="BO42">
        <v>0.5</v>
      </c>
      <c r="BP42">
        <f t="shared" si="32"/>
        <v>1176.233699962391</v>
      </c>
      <c r="BQ42">
        <f t="shared" si="33"/>
        <v>3.3482504779324858</v>
      </c>
      <c r="BR42" t="e">
        <f t="shared" si="34"/>
        <v>#DIV/0!</v>
      </c>
      <c r="BS42">
        <f t="shared" si="35"/>
        <v>2.8465860806738854E-3</v>
      </c>
      <c r="BT42" t="e">
        <f t="shared" si="36"/>
        <v>#DIV/0!</v>
      </c>
      <c r="BU42" t="e">
        <f t="shared" si="37"/>
        <v>#DIV/0!</v>
      </c>
      <c r="BV42" t="s">
        <v>439</v>
      </c>
      <c r="BW42">
        <v>0</v>
      </c>
      <c r="BX42" t="e">
        <f t="shared" si="38"/>
        <v>#DIV/0!</v>
      </c>
      <c r="BY42" t="e">
        <f t="shared" si="39"/>
        <v>#DIV/0!</v>
      </c>
      <c r="BZ42" t="e">
        <f t="shared" si="40"/>
        <v>#DIV/0!</v>
      </c>
      <c r="CA42" t="e">
        <f t="shared" si="41"/>
        <v>#DIV/0!</v>
      </c>
      <c r="CB42" t="e">
        <f t="shared" si="42"/>
        <v>#DIV/0!</v>
      </c>
      <c r="CC42" t="e">
        <f t="shared" si="43"/>
        <v>#DIV/0!</v>
      </c>
      <c r="CD42" t="e">
        <f t="shared" si="44"/>
        <v>#DIV/0!</v>
      </c>
      <c r="CE42" t="e">
        <f t="shared" si="45"/>
        <v>#DIV/0!</v>
      </c>
      <c r="DN42">
        <f t="shared" si="46"/>
        <v>1399.93</v>
      </c>
      <c r="DO42">
        <f t="shared" si="47"/>
        <v>1176.233699962391</v>
      </c>
      <c r="DP42">
        <f t="shared" si="48"/>
        <v>0.8402089389915145</v>
      </c>
      <c r="DQ42">
        <f t="shared" si="49"/>
        <v>0.19041787798302912</v>
      </c>
      <c r="DR42">
        <v>6</v>
      </c>
      <c r="DS42">
        <v>0.5</v>
      </c>
      <c r="DT42" t="s">
        <v>440</v>
      </c>
      <c r="DU42">
        <v>2</v>
      </c>
      <c r="DV42" t="b">
        <v>1</v>
      </c>
      <c r="DW42">
        <v>1707855247.5</v>
      </c>
      <c r="DX42">
        <v>401.673</v>
      </c>
      <c r="DY42">
        <v>399.96899999999999</v>
      </c>
      <c r="DZ42">
        <v>17.832799999999999</v>
      </c>
      <c r="EA42">
        <v>18.591100000000001</v>
      </c>
      <c r="EB42">
        <v>403.76600000000002</v>
      </c>
      <c r="EC42">
        <v>17.684899999999999</v>
      </c>
      <c r="ED42">
        <v>700.02099999999996</v>
      </c>
      <c r="EE42">
        <v>101.959</v>
      </c>
      <c r="EF42">
        <v>8.2776000000000002E-2</v>
      </c>
      <c r="EG42">
        <v>28.091000000000001</v>
      </c>
      <c r="EH42">
        <v>28.418900000000001</v>
      </c>
      <c r="EI42">
        <v>999.9</v>
      </c>
      <c r="EJ42">
        <v>0</v>
      </c>
      <c r="EK42">
        <v>0</v>
      </c>
      <c r="EL42">
        <v>10008.5</v>
      </c>
      <c r="EM42">
        <v>0</v>
      </c>
      <c r="EN42">
        <v>1.91117E-3</v>
      </c>
      <c r="EO42">
        <v>1.7044999999999999</v>
      </c>
      <c r="EP42">
        <v>408.96600000000001</v>
      </c>
      <c r="EQ42">
        <v>407.54599999999999</v>
      </c>
      <c r="ER42">
        <v>-0.75826099999999996</v>
      </c>
      <c r="ES42">
        <v>399.96899999999999</v>
      </c>
      <c r="ET42">
        <v>18.591100000000001</v>
      </c>
      <c r="EU42">
        <v>1.8182100000000001</v>
      </c>
      <c r="EV42">
        <v>1.8955200000000001</v>
      </c>
      <c r="EW42">
        <v>15.9442</v>
      </c>
      <c r="EX42">
        <v>16.5976</v>
      </c>
      <c r="EY42">
        <v>1399.93</v>
      </c>
      <c r="EZ42">
        <v>0.993008</v>
      </c>
      <c r="FA42">
        <v>6.9924100000000001E-3</v>
      </c>
      <c r="FB42">
        <v>0</v>
      </c>
      <c r="FC42">
        <v>391.09</v>
      </c>
      <c r="FD42">
        <v>5.0001800000000003</v>
      </c>
      <c r="FE42">
        <v>7931.44</v>
      </c>
      <c r="FF42">
        <v>12009.2</v>
      </c>
      <c r="FG42">
        <v>36.75</v>
      </c>
      <c r="FH42">
        <v>38.686999999999998</v>
      </c>
      <c r="FI42">
        <v>37.561999999999998</v>
      </c>
      <c r="FJ42">
        <v>38.186999999999998</v>
      </c>
      <c r="FK42">
        <v>38.061999999999998</v>
      </c>
      <c r="FL42">
        <v>1385.18</v>
      </c>
      <c r="FM42">
        <v>9.75</v>
      </c>
      <c r="FN42">
        <v>0</v>
      </c>
      <c r="FO42">
        <v>1685749657.5999999</v>
      </c>
      <c r="FP42">
        <v>0</v>
      </c>
      <c r="FQ42">
        <v>401.44060000000002</v>
      </c>
      <c r="FR42">
        <v>9.260536644184878</v>
      </c>
      <c r="FS42">
        <v>-816219.38040409633</v>
      </c>
      <c r="FT42">
        <v>43692.960800000001</v>
      </c>
      <c r="FU42">
        <v>15</v>
      </c>
      <c r="FV42">
        <v>1707843540</v>
      </c>
      <c r="FW42" t="s">
        <v>487</v>
      </c>
      <c r="FX42">
        <v>1707843539.5</v>
      </c>
      <c r="FY42">
        <v>1707843540</v>
      </c>
      <c r="FZ42">
        <v>1</v>
      </c>
      <c r="GA42">
        <v>-0.112</v>
      </c>
      <c r="GB42">
        <v>6.8000000000000005E-2</v>
      </c>
      <c r="GC42">
        <v>-2.09</v>
      </c>
      <c r="GD42">
        <v>0.03</v>
      </c>
      <c r="GE42">
        <v>400</v>
      </c>
      <c r="GF42">
        <v>11</v>
      </c>
      <c r="GG42">
        <v>0.28000000000000003</v>
      </c>
      <c r="GH42">
        <v>0.05</v>
      </c>
      <c r="GI42">
        <v>-24.675511152821869</v>
      </c>
      <c r="GJ42">
        <v>159.93742682939791</v>
      </c>
      <c r="GK42">
        <v>22.919800066500692</v>
      </c>
      <c r="GL42">
        <v>0</v>
      </c>
      <c r="GM42">
        <v>-0.23849759917088251</v>
      </c>
      <c r="GN42">
        <v>1.333034423439345</v>
      </c>
      <c r="GO42">
        <v>0.23507546478827401</v>
      </c>
      <c r="GP42">
        <v>0</v>
      </c>
      <c r="GQ42">
        <v>0</v>
      </c>
      <c r="GR42">
        <v>2</v>
      </c>
      <c r="GS42" t="s">
        <v>442</v>
      </c>
      <c r="GT42">
        <v>3.3680300000000001</v>
      </c>
      <c r="GU42">
        <v>2.7770700000000001</v>
      </c>
      <c r="GV42">
        <v>9.7102099999999997E-2</v>
      </c>
      <c r="GW42">
        <v>9.6151899999999998E-2</v>
      </c>
      <c r="GX42">
        <v>9.3681899999999999E-2</v>
      </c>
      <c r="GY42">
        <v>9.5998600000000003E-2</v>
      </c>
      <c r="GZ42">
        <v>21189.599999999999</v>
      </c>
      <c r="HA42">
        <v>21800.7</v>
      </c>
      <c r="HB42">
        <v>24931.200000000001</v>
      </c>
      <c r="HC42">
        <v>25534.7</v>
      </c>
      <c r="HD42">
        <v>34359.9</v>
      </c>
      <c r="HE42">
        <v>34504.5</v>
      </c>
      <c r="HF42">
        <v>41689</v>
      </c>
      <c r="HG42">
        <v>41314.5</v>
      </c>
      <c r="HH42">
        <v>2.2599999999999998</v>
      </c>
      <c r="HI42">
        <v>2.3067199999999999</v>
      </c>
      <c r="HJ42">
        <v>0.10664800000000001</v>
      </c>
      <c r="HK42">
        <v>0</v>
      </c>
      <c r="HL42">
        <v>26.676400000000001</v>
      </c>
      <c r="HM42">
        <v>999.9</v>
      </c>
      <c r="HN42">
        <v>51.4</v>
      </c>
      <c r="HO42">
        <v>32.6</v>
      </c>
      <c r="HP42">
        <v>24.902000000000001</v>
      </c>
      <c r="HQ42">
        <v>60.93</v>
      </c>
      <c r="HR42">
        <v>8.8101000000000003</v>
      </c>
      <c r="HS42">
        <v>2</v>
      </c>
      <c r="HT42">
        <v>5.5955299999999996E-3</v>
      </c>
      <c r="HU42">
        <v>0</v>
      </c>
      <c r="HV42">
        <v>20.327000000000002</v>
      </c>
      <c r="HW42">
        <v>5.2014800000000001</v>
      </c>
      <c r="HX42">
        <v>11.9201</v>
      </c>
      <c r="HY42">
        <v>4.9904400000000004</v>
      </c>
      <c r="HZ42">
        <v>3.28138</v>
      </c>
      <c r="IA42">
        <v>9999</v>
      </c>
      <c r="IB42">
        <v>9999</v>
      </c>
      <c r="IC42">
        <v>9999</v>
      </c>
      <c r="ID42">
        <v>153.6</v>
      </c>
      <c r="IE42">
        <v>4.9726100000000004</v>
      </c>
      <c r="IF42">
        <v>1.8596699999999999</v>
      </c>
      <c r="IG42">
        <v>1.86873</v>
      </c>
      <c r="IH42">
        <v>1.86402</v>
      </c>
      <c r="II42">
        <v>1.8660099999999999</v>
      </c>
      <c r="IJ42">
        <v>1.8623400000000001</v>
      </c>
      <c r="IK42">
        <v>1.86439</v>
      </c>
      <c r="IL42">
        <v>1.86225</v>
      </c>
      <c r="IM42">
        <v>0</v>
      </c>
      <c r="IN42">
        <v>0</v>
      </c>
      <c r="IO42">
        <v>0</v>
      </c>
      <c r="IP42">
        <v>0</v>
      </c>
      <c r="IQ42" t="s">
        <v>443</v>
      </c>
      <c r="IR42" t="s">
        <v>444</v>
      </c>
      <c r="IS42" t="s">
        <v>445</v>
      </c>
      <c r="IT42" t="s">
        <v>445</v>
      </c>
      <c r="IU42" t="s">
        <v>445</v>
      </c>
      <c r="IV42" t="s">
        <v>445</v>
      </c>
      <c r="IW42">
        <v>0</v>
      </c>
      <c r="IX42">
        <v>100</v>
      </c>
      <c r="IY42">
        <v>100</v>
      </c>
      <c r="IZ42">
        <v>-2.093</v>
      </c>
      <c r="JA42">
        <v>0.1479</v>
      </c>
      <c r="JB42">
        <v>-1.252214354925264</v>
      </c>
      <c r="JC42">
        <v>-2.4932477295996069E-3</v>
      </c>
      <c r="JD42">
        <v>1.159696634280317E-6</v>
      </c>
      <c r="JE42">
        <v>-3.5013845820821591E-10</v>
      </c>
      <c r="JF42">
        <v>-1.8539783221661419E-2</v>
      </c>
      <c r="JG42">
        <v>-7.5935071553627593E-3</v>
      </c>
      <c r="JH42">
        <v>1.367325239740887E-3</v>
      </c>
      <c r="JI42">
        <v>-2.2944115828177239E-5</v>
      </c>
      <c r="JJ42">
        <v>2</v>
      </c>
      <c r="JK42">
        <v>2118</v>
      </c>
      <c r="JL42">
        <v>1</v>
      </c>
      <c r="JM42">
        <v>27</v>
      </c>
      <c r="JN42">
        <v>195.1</v>
      </c>
      <c r="JO42">
        <v>195.1</v>
      </c>
      <c r="JP42">
        <v>1.27319</v>
      </c>
      <c r="JQ42">
        <v>2.5402800000000001</v>
      </c>
      <c r="JR42">
        <v>2.19604</v>
      </c>
      <c r="JS42">
        <v>2.6831100000000001</v>
      </c>
      <c r="JT42">
        <v>2.1496599999999999</v>
      </c>
      <c r="JU42">
        <v>2.4731399999999999</v>
      </c>
      <c r="JV42">
        <v>40.1967</v>
      </c>
      <c r="JW42">
        <v>23.8949</v>
      </c>
      <c r="JX42">
        <v>18</v>
      </c>
      <c r="JY42">
        <v>617.96400000000006</v>
      </c>
      <c r="JZ42">
        <v>722.39400000000001</v>
      </c>
      <c r="KA42">
        <v>27.7121</v>
      </c>
      <c r="KB42">
        <v>27.4907</v>
      </c>
      <c r="KC42">
        <v>30</v>
      </c>
      <c r="KD42">
        <v>27.4602</v>
      </c>
      <c r="KE42">
        <v>27.4404</v>
      </c>
      <c r="KF42">
        <v>25.546800000000001</v>
      </c>
      <c r="KG42">
        <v>30.504200000000001</v>
      </c>
      <c r="KH42">
        <v>70.971900000000005</v>
      </c>
      <c r="KI42">
        <v>-999.9</v>
      </c>
      <c r="KJ42">
        <v>400</v>
      </c>
      <c r="KK42">
        <v>18.703299999999999</v>
      </c>
      <c r="KL42">
        <v>101.05200000000001</v>
      </c>
      <c r="KM42">
        <v>101.03</v>
      </c>
    </row>
    <row r="43" spans="1:299" x14ac:dyDescent="0.2">
      <c r="A43">
        <v>27</v>
      </c>
      <c r="B43" t="s">
        <v>538</v>
      </c>
      <c r="C43">
        <v>5</v>
      </c>
      <c r="D43">
        <v>1707855494.5</v>
      </c>
      <c r="E43">
        <v>833.5</v>
      </c>
      <c r="F43" t="s">
        <v>498</v>
      </c>
      <c r="G43" t="s">
        <v>499</v>
      </c>
      <c r="H43" t="s">
        <v>436</v>
      </c>
      <c r="I43" t="s">
        <v>437</v>
      </c>
      <c r="J43" t="s">
        <v>438</v>
      </c>
      <c r="M43" t="s">
        <v>438</v>
      </c>
      <c r="O43">
        <v>1707855494.5</v>
      </c>
      <c r="P43">
        <f t="shared" si="0"/>
        <v>8.0468691821223009E-4</v>
      </c>
      <c r="Q43">
        <f t="shared" si="1"/>
        <v>0.80468691821223004</v>
      </c>
      <c r="R43">
        <f t="shared" si="2"/>
        <v>0.38990381476626684</v>
      </c>
      <c r="S43">
        <f t="shared" si="3"/>
        <v>447.96800000000002</v>
      </c>
      <c r="T43">
        <f t="shared" si="4"/>
        <v>416.19426252660338</v>
      </c>
      <c r="U43">
        <f t="shared" si="5"/>
        <v>42.460665356803304</v>
      </c>
      <c r="V43">
        <f t="shared" si="6"/>
        <v>45.702262263504004</v>
      </c>
      <c r="W43">
        <f t="shared" si="7"/>
        <v>3.7364800336824149E-2</v>
      </c>
      <c r="X43">
        <f t="shared" si="8"/>
        <v>2.9658593481740558</v>
      </c>
      <c r="Y43">
        <f t="shared" si="9"/>
        <v>3.7105243181287738E-2</v>
      </c>
      <c r="Z43">
        <f t="shared" si="10"/>
        <v>2.3213946716773719E-2</v>
      </c>
      <c r="AA43">
        <f t="shared" si="11"/>
        <v>266.5912999247102</v>
      </c>
      <c r="AB43">
        <f t="shared" si="12"/>
        <v>29.466484320197445</v>
      </c>
      <c r="AC43">
        <f t="shared" si="13"/>
        <v>28.557200000000002</v>
      </c>
      <c r="AD43">
        <f t="shared" si="14"/>
        <v>3.9198675252232187</v>
      </c>
      <c r="AE43">
        <f t="shared" si="15"/>
        <v>46.292114818708605</v>
      </c>
      <c r="AF43">
        <f t="shared" si="16"/>
        <v>1.7690589458965498</v>
      </c>
      <c r="AG43">
        <f t="shared" si="17"/>
        <v>3.8215124818224941</v>
      </c>
      <c r="AH43">
        <f t="shared" si="18"/>
        <v>2.1508085793266689</v>
      </c>
      <c r="AI43">
        <f t="shared" si="19"/>
        <v>-35.486693093159346</v>
      </c>
      <c r="AJ43">
        <f t="shared" si="20"/>
        <v>-69.874293811118179</v>
      </c>
      <c r="AK43">
        <f t="shared" si="21"/>
        <v>-5.1527971690988821</v>
      </c>
      <c r="AL43">
        <f t="shared" si="22"/>
        <v>156.07751585133377</v>
      </c>
      <c r="AM43">
        <f t="shared" si="23"/>
        <v>-55.330762335100154</v>
      </c>
      <c r="AN43">
        <f t="shared" si="24"/>
        <v>-1.5373968636893962</v>
      </c>
      <c r="AO43">
        <f t="shared" si="25"/>
        <v>0.38990381476626684</v>
      </c>
      <c r="AP43">
        <v>407.51549575890192</v>
      </c>
      <c r="AQ43">
        <v>461.28003030303029</v>
      </c>
      <c r="AR43">
        <v>-13.88249572533458</v>
      </c>
      <c r="AS43">
        <v>67.029576826007329</v>
      </c>
      <c r="AT43">
        <f t="shared" si="26"/>
        <v>0.80468691821223004</v>
      </c>
      <c r="AU43">
        <v>18.610517508864699</v>
      </c>
      <c r="AV43">
        <v>17.205816363636359</v>
      </c>
      <c r="AW43">
        <v>0.45553210809003231</v>
      </c>
      <c r="AX43">
        <v>78.627347358383417</v>
      </c>
      <c r="AY43">
        <v>273</v>
      </c>
      <c r="AZ43">
        <v>39</v>
      </c>
      <c r="BA43">
        <f t="shared" si="27"/>
        <v>1</v>
      </c>
      <c r="BB43">
        <f t="shared" si="28"/>
        <v>0</v>
      </c>
      <c r="BC43">
        <f t="shared" si="29"/>
        <v>53775.67736288187</v>
      </c>
      <c r="BD43" t="s">
        <v>439</v>
      </c>
      <c r="BE43" t="s">
        <v>439</v>
      </c>
      <c r="BF43">
        <v>0</v>
      </c>
      <c r="BG43">
        <v>0</v>
      </c>
      <c r="BH43" t="e">
        <f t="shared" si="30"/>
        <v>#DIV/0!</v>
      </c>
      <c r="BI43">
        <v>0</v>
      </c>
      <c r="BJ43" t="s">
        <v>439</v>
      </c>
      <c r="BK43" t="s">
        <v>439</v>
      </c>
      <c r="BL43">
        <v>0</v>
      </c>
      <c r="BM43">
        <v>0</v>
      </c>
      <c r="BN43" t="e">
        <f t="shared" si="31"/>
        <v>#DIV/0!</v>
      </c>
      <c r="BO43">
        <v>0.5</v>
      </c>
      <c r="BP43">
        <f t="shared" si="32"/>
        <v>1176.3179999623551</v>
      </c>
      <c r="BQ43">
        <f t="shared" si="33"/>
        <v>0.38990381476626684</v>
      </c>
      <c r="BR43" t="e">
        <f t="shared" si="34"/>
        <v>#DIV/0!</v>
      </c>
      <c r="BS43">
        <f t="shared" si="35"/>
        <v>3.3146123308386397E-4</v>
      </c>
      <c r="BT43" t="e">
        <f t="shared" si="36"/>
        <v>#DIV/0!</v>
      </c>
      <c r="BU43" t="e">
        <f t="shared" si="37"/>
        <v>#DIV/0!</v>
      </c>
      <c r="BV43" t="s">
        <v>439</v>
      </c>
      <c r="BW43">
        <v>0</v>
      </c>
      <c r="BX43" t="e">
        <f t="shared" si="38"/>
        <v>#DIV/0!</v>
      </c>
      <c r="BY43" t="e">
        <f t="shared" si="39"/>
        <v>#DIV/0!</v>
      </c>
      <c r="BZ43" t="e">
        <f t="shared" si="40"/>
        <v>#DIV/0!</v>
      </c>
      <c r="CA43" t="e">
        <f t="shared" si="41"/>
        <v>#DIV/0!</v>
      </c>
      <c r="CB43" t="e">
        <f t="shared" si="42"/>
        <v>#DIV/0!</v>
      </c>
      <c r="CC43" t="e">
        <f t="shared" si="43"/>
        <v>#DIV/0!</v>
      </c>
      <c r="CD43" t="e">
        <f t="shared" si="44"/>
        <v>#DIV/0!</v>
      </c>
      <c r="CE43" t="e">
        <f t="shared" si="45"/>
        <v>#DIV/0!</v>
      </c>
      <c r="DN43">
        <f t="shared" si="46"/>
        <v>1400.03</v>
      </c>
      <c r="DO43">
        <f t="shared" si="47"/>
        <v>1176.3179999623551</v>
      </c>
      <c r="DP43">
        <f t="shared" si="48"/>
        <v>0.84020913834871758</v>
      </c>
      <c r="DQ43">
        <f t="shared" si="49"/>
        <v>0.19041827669743519</v>
      </c>
      <c r="DR43">
        <v>6</v>
      </c>
      <c r="DS43">
        <v>0.5</v>
      </c>
      <c r="DT43" t="s">
        <v>440</v>
      </c>
      <c r="DU43">
        <v>2</v>
      </c>
      <c r="DV43" t="b">
        <v>1</v>
      </c>
      <c r="DW43">
        <v>1707855494.5</v>
      </c>
      <c r="DX43">
        <v>447.96800000000002</v>
      </c>
      <c r="DY43">
        <v>399.952</v>
      </c>
      <c r="DZ43">
        <v>17.3401</v>
      </c>
      <c r="EA43">
        <v>18.635000000000002</v>
      </c>
      <c r="EB43">
        <v>450.14</v>
      </c>
      <c r="EC43">
        <v>17.201499999999999</v>
      </c>
      <c r="ED43">
        <v>700.01</v>
      </c>
      <c r="EE43">
        <v>101.947</v>
      </c>
      <c r="EF43">
        <v>7.4265499999999998E-2</v>
      </c>
      <c r="EG43">
        <v>28.120200000000001</v>
      </c>
      <c r="EH43">
        <v>28.557200000000002</v>
      </c>
      <c r="EI43">
        <v>999.9</v>
      </c>
      <c r="EJ43">
        <v>0</v>
      </c>
      <c r="EK43">
        <v>0</v>
      </c>
      <c r="EL43">
        <v>10013.5</v>
      </c>
      <c r="EM43">
        <v>0</v>
      </c>
      <c r="EN43">
        <v>1.91117E-3</v>
      </c>
      <c r="EO43">
        <v>48.016100000000002</v>
      </c>
      <c r="EP43">
        <v>455.87299999999999</v>
      </c>
      <c r="EQ43">
        <v>407.54700000000003</v>
      </c>
      <c r="ER43">
        <v>-1.29484</v>
      </c>
      <c r="ES43">
        <v>399.952</v>
      </c>
      <c r="ET43">
        <v>18.635000000000002</v>
      </c>
      <c r="EU43">
        <v>1.7677700000000001</v>
      </c>
      <c r="EV43">
        <v>1.89977</v>
      </c>
      <c r="EW43">
        <v>15.5047</v>
      </c>
      <c r="EX43">
        <v>16.6328</v>
      </c>
      <c r="EY43">
        <v>1400.03</v>
      </c>
      <c r="EZ43">
        <v>0.99300200000000005</v>
      </c>
      <c r="FA43">
        <v>6.9983299999999997E-3</v>
      </c>
      <c r="FB43">
        <v>0</v>
      </c>
      <c r="FC43">
        <v>375.45600000000002</v>
      </c>
      <c r="FD43">
        <v>5.0001800000000003</v>
      </c>
      <c r="FE43">
        <v>7983.68</v>
      </c>
      <c r="FF43">
        <v>12010</v>
      </c>
      <c r="FG43">
        <v>36.311999999999998</v>
      </c>
      <c r="FH43">
        <v>38.561999999999998</v>
      </c>
      <c r="FI43">
        <v>37.061999999999998</v>
      </c>
      <c r="FJ43">
        <v>38</v>
      </c>
      <c r="FK43">
        <v>38</v>
      </c>
      <c r="FL43">
        <v>1385.27</v>
      </c>
      <c r="FM43">
        <v>9.76</v>
      </c>
      <c r="FN43">
        <v>0</v>
      </c>
      <c r="FO43">
        <v>1685749904.8</v>
      </c>
      <c r="FP43">
        <v>0</v>
      </c>
      <c r="FQ43">
        <v>340.56659999999988</v>
      </c>
      <c r="FR43">
        <v>736.4942322880305</v>
      </c>
      <c r="FS43">
        <v>-1674739.1469781059</v>
      </c>
      <c r="FT43">
        <v>92703.35040000001</v>
      </c>
      <c r="FU43">
        <v>15</v>
      </c>
      <c r="FV43">
        <v>1707843540</v>
      </c>
      <c r="FW43" t="s">
        <v>487</v>
      </c>
      <c r="FX43">
        <v>1707843539.5</v>
      </c>
      <c r="FY43">
        <v>1707843540</v>
      </c>
      <c r="FZ43">
        <v>1</v>
      </c>
      <c r="GA43">
        <v>-0.112</v>
      </c>
      <c r="GB43">
        <v>6.8000000000000005E-2</v>
      </c>
      <c r="GC43">
        <v>-2.09</v>
      </c>
      <c r="GD43">
        <v>0.03</v>
      </c>
      <c r="GE43">
        <v>400</v>
      </c>
      <c r="GF43">
        <v>11</v>
      </c>
      <c r="GG43">
        <v>0.28000000000000003</v>
      </c>
      <c r="GH43">
        <v>0.05</v>
      </c>
      <c r="GI43">
        <v>-123.7551784016337</v>
      </c>
      <c r="GJ43">
        <v>-315.23819002488551</v>
      </c>
      <c r="GK43">
        <v>117.240464461222</v>
      </c>
      <c r="GL43">
        <v>0</v>
      </c>
      <c r="GM43">
        <v>-0.24212622214350349</v>
      </c>
      <c r="GN43">
        <v>0.64790664740369164</v>
      </c>
      <c r="GO43">
        <v>0.1962225646442991</v>
      </c>
      <c r="GP43">
        <v>0</v>
      </c>
      <c r="GQ43">
        <v>0</v>
      </c>
      <c r="GR43">
        <v>2</v>
      </c>
      <c r="GS43" t="s">
        <v>442</v>
      </c>
      <c r="GT43">
        <v>3.3680500000000002</v>
      </c>
      <c r="GU43">
        <v>2.7686000000000002</v>
      </c>
      <c r="GV43">
        <v>0.105416</v>
      </c>
      <c r="GW43">
        <v>9.6163899999999997E-2</v>
      </c>
      <c r="GX43">
        <v>9.1818800000000006E-2</v>
      </c>
      <c r="GY43">
        <v>9.6173800000000004E-2</v>
      </c>
      <c r="GZ43">
        <v>21010.1</v>
      </c>
      <c r="HA43">
        <v>21818.3</v>
      </c>
      <c r="HB43">
        <v>24949</v>
      </c>
      <c r="HC43">
        <v>25555</v>
      </c>
      <c r="HD43">
        <v>34456.199999999997</v>
      </c>
      <c r="HE43">
        <v>34524.6</v>
      </c>
      <c r="HF43">
        <v>41719.800000000003</v>
      </c>
      <c r="HG43">
        <v>41346.6</v>
      </c>
      <c r="HH43">
        <v>1.9270400000000001</v>
      </c>
      <c r="HI43">
        <v>2.3067600000000001</v>
      </c>
      <c r="HJ43">
        <v>0.12078899999999999</v>
      </c>
      <c r="HK43">
        <v>0</v>
      </c>
      <c r="HL43">
        <v>26.5837</v>
      </c>
      <c r="HM43">
        <v>999.9</v>
      </c>
      <c r="HN43">
        <v>48</v>
      </c>
      <c r="HO43">
        <v>33.1</v>
      </c>
      <c r="HP43">
        <v>23.921500000000002</v>
      </c>
      <c r="HQ43">
        <v>60.74</v>
      </c>
      <c r="HR43">
        <v>7.9887800000000002</v>
      </c>
      <c r="HS43">
        <v>2</v>
      </c>
      <c r="HT43">
        <v>-1.55102E-2</v>
      </c>
      <c r="HU43">
        <v>0</v>
      </c>
      <c r="HV43">
        <v>20.328299999999999</v>
      </c>
      <c r="HW43">
        <v>5.2018399999999998</v>
      </c>
      <c r="HX43">
        <v>11.9201</v>
      </c>
      <c r="HY43">
        <v>4.98996</v>
      </c>
      <c r="HZ43">
        <v>3.28138</v>
      </c>
      <c r="IA43">
        <v>9999</v>
      </c>
      <c r="IB43">
        <v>9999</v>
      </c>
      <c r="IC43">
        <v>9999</v>
      </c>
      <c r="ID43">
        <v>153.6</v>
      </c>
      <c r="IE43">
        <v>4.9726400000000002</v>
      </c>
      <c r="IF43">
        <v>1.8597399999999999</v>
      </c>
      <c r="IG43">
        <v>1.8687400000000001</v>
      </c>
      <c r="IH43">
        <v>1.86412</v>
      </c>
      <c r="II43">
        <v>1.8660300000000001</v>
      </c>
      <c r="IJ43">
        <v>1.8623700000000001</v>
      </c>
      <c r="IK43">
        <v>1.8644000000000001</v>
      </c>
      <c r="IL43">
        <v>1.86229</v>
      </c>
      <c r="IM43">
        <v>0</v>
      </c>
      <c r="IN43">
        <v>0</v>
      </c>
      <c r="IO43">
        <v>0</v>
      </c>
      <c r="IP43">
        <v>0</v>
      </c>
      <c r="IQ43" t="s">
        <v>443</v>
      </c>
      <c r="IR43" t="s">
        <v>444</v>
      </c>
      <c r="IS43" t="s">
        <v>445</v>
      </c>
      <c r="IT43" t="s">
        <v>445</v>
      </c>
      <c r="IU43" t="s">
        <v>445</v>
      </c>
      <c r="IV43" t="s">
        <v>445</v>
      </c>
      <c r="IW43">
        <v>0</v>
      </c>
      <c r="IX43">
        <v>100</v>
      </c>
      <c r="IY43">
        <v>100</v>
      </c>
      <c r="IZ43">
        <v>-2.1720000000000002</v>
      </c>
      <c r="JA43">
        <v>0.1386</v>
      </c>
      <c r="JB43">
        <v>-1.252214354925264</v>
      </c>
      <c r="JC43">
        <v>-2.4932477295996069E-3</v>
      </c>
      <c r="JD43">
        <v>1.159696634280317E-6</v>
      </c>
      <c r="JE43">
        <v>-3.5013845820821591E-10</v>
      </c>
      <c r="JF43">
        <v>-1.8539783221661419E-2</v>
      </c>
      <c r="JG43">
        <v>-7.5935071553627593E-3</v>
      </c>
      <c r="JH43">
        <v>1.367325239740887E-3</v>
      </c>
      <c r="JI43">
        <v>-2.2944115828177239E-5</v>
      </c>
      <c r="JJ43">
        <v>2</v>
      </c>
      <c r="JK43">
        <v>2118</v>
      </c>
      <c r="JL43">
        <v>1</v>
      </c>
      <c r="JM43">
        <v>27</v>
      </c>
      <c r="JN43">
        <v>199.2</v>
      </c>
      <c r="JO43">
        <v>199.2</v>
      </c>
      <c r="JP43">
        <v>1.2768600000000001</v>
      </c>
      <c r="JQ43">
        <v>2.5488300000000002</v>
      </c>
      <c r="JR43">
        <v>2.19604</v>
      </c>
      <c r="JS43">
        <v>2.6892100000000001</v>
      </c>
      <c r="JT43">
        <v>2.1484399999999999</v>
      </c>
      <c r="JU43">
        <v>2.4890099999999999</v>
      </c>
      <c r="JV43">
        <v>40.860799999999998</v>
      </c>
      <c r="JW43">
        <v>23.886099999999999</v>
      </c>
      <c r="JX43">
        <v>18</v>
      </c>
      <c r="JY43">
        <v>416.67</v>
      </c>
      <c r="JZ43">
        <v>721.13300000000004</v>
      </c>
      <c r="KA43">
        <v>27.860800000000001</v>
      </c>
      <c r="KB43">
        <v>27.35</v>
      </c>
      <c r="KC43">
        <v>29.999400000000001</v>
      </c>
      <c r="KD43">
        <v>27.350899999999999</v>
      </c>
      <c r="KE43">
        <v>27.3369</v>
      </c>
      <c r="KF43">
        <v>25.619800000000001</v>
      </c>
      <c r="KG43">
        <v>27.692699999999999</v>
      </c>
      <c r="KH43">
        <v>68.361000000000004</v>
      </c>
      <c r="KI43">
        <v>-999.9</v>
      </c>
      <c r="KJ43">
        <v>400</v>
      </c>
      <c r="KK43">
        <v>18.677399999999999</v>
      </c>
      <c r="KL43">
        <v>101.126</v>
      </c>
      <c r="KM43">
        <v>101.11</v>
      </c>
    </row>
    <row r="44" spans="1:299" x14ac:dyDescent="0.2">
      <c r="A44">
        <v>28</v>
      </c>
      <c r="B44" t="s">
        <v>538</v>
      </c>
      <c r="C44">
        <v>6</v>
      </c>
      <c r="D44">
        <v>1707855826.5999999</v>
      </c>
      <c r="E44">
        <v>1165.599999904633</v>
      </c>
      <c r="F44" t="s">
        <v>500</v>
      </c>
      <c r="G44" t="s">
        <v>501</v>
      </c>
      <c r="H44" t="s">
        <v>436</v>
      </c>
      <c r="I44" t="s">
        <v>437</v>
      </c>
      <c r="J44" t="s">
        <v>438</v>
      </c>
      <c r="M44" t="s">
        <v>438</v>
      </c>
      <c r="O44">
        <v>1707855826.5999999</v>
      </c>
      <c r="P44">
        <f t="shared" si="0"/>
        <v>2.2026271594588324E-3</v>
      </c>
      <c r="Q44">
        <f t="shared" si="1"/>
        <v>2.2026271594588325</v>
      </c>
      <c r="R44">
        <f t="shared" si="2"/>
        <v>4.2823112179112632</v>
      </c>
      <c r="S44">
        <f t="shared" si="3"/>
        <v>407.05900000000003</v>
      </c>
      <c r="T44">
        <f t="shared" si="4"/>
        <v>326.35913203715978</v>
      </c>
      <c r="U44">
        <f t="shared" si="5"/>
        <v>33.299538487890722</v>
      </c>
      <c r="V44">
        <f t="shared" si="6"/>
        <v>41.533622033897707</v>
      </c>
      <c r="W44">
        <f t="shared" si="7"/>
        <v>0.1025737010367116</v>
      </c>
      <c r="X44">
        <f t="shared" si="8"/>
        <v>2.9698936304367582</v>
      </c>
      <c r="Y44">
        <f t="shared" si="9"/>
        <v>0.10064546685326249</v>
      </c>
      <c r="Z44">
        <f t="shared" si="10"/>
        <v>6.3073641814226616E-2</v>
      </c>
      <c r="AA44">
        <f t="shared" si="11"/>
        <v>266.53109992461583</v>
      </c>
      <c r="AB44">
        <f t="shared" si="12"/>
        <v>29.904913230220206</v>
      </c>
      <c r="AC44">
        <f t="shared" si="13"/>
        <v>28.997399999999999</v>
      </c>
      <c r="AD44">
        <f t="shared" si="14"/>
        <v>4.0211677342059478</v>
      </c>
      <c r="AE44">
        <f t="shared" si="15"/>
        <v>46.274263648562382</v>
      </c>
      <c r="AF44">
        <f t="shared" si="16"/>
        <v>1.85243715223056</v>
      </c>
      <c r="AG44">
        <f t="shared" si="17"/>
        <v>4.0031693779056177</v>
      </c>
      <c r="AH44">
        <f t="shared" si="18"/>
        <v>2.1687305819753879</v>
      </c>
      <c r="AI44">
        <f t="shared" si="19"/>
        <v>-97.135857732134511</v>
      </c>
      <c r="AJ44">
        <f t="shared" si="20"/>
        <v>-12.408750168818345</v>
      </c>
      <c r="AK44">
        <f t="shared" si="21"/>
        <v>-0.91947682178833334</v>
      </c>
      <c r="AL44">
        <f t="shared" si="22"/>
        <v>156.0670152018746</v>
      </c>
      <c r="AM44">
        <f t="shared" si="23"/>
        <v>-7.4006640365608893</v>
      </c>
      <c r="AN44">
        <f t="shared" si="24"/>
        <v>-2.1211618424826413</v>
      </c>
      <c r="AO44">
        <f t="shared" si="25"/>
        <v>4.2823112179112632</v>
      </c>
      <c r="AP44">
        <v>408.07921717446862</v>
      </c>
      <c r="AQ44">
        <v>415.54656969696953</v>
      </c>
      <c r="AR44">
        <v>-2.884761546590711</v>
      </c>
      <c r="AS44">
        <v>67.028924126054662</v>
      </c>
      <c r="AT44">
        <f t="shared" si="26"/>
        <v>2.2026271594588325</v>
      </c>
      <c r="AU44">
        <v>19.912403181795671</v>
      </c>
      <c r="AV44">
        <v>17.95253818181817</v>
      </c>
      <c r="AW44">
        <v>0.83638650839112405</v>
      </c>
      <c r="AX44">
        <v>78.637213764392982</v>
      </c>
      <c r="AY44">
        <v>32</v>
      </c>
      <c r="AZ44">
        <v>5</v>
      </c>
      <c r="BA44">
        <f t="shared" si="27"/>
        <v>1</v>
      </c>
      <c r="BB44">
        <f t="shared" si="28"/>
        <v>0</v>
      </c>
      <c r="BC44">
        <f t="shared" si="29"/>
        <v>53750.78902146389</v>
      </c>
      <c r="BD44" t="s">
        <v>439</v>
      </c>
      <c r="BE44" t="s">
        <v>439</v>
      </c>
      <c r="BF44">
        <v>0</v>
      </c>
      <c r="BG44">
        <v>0</v>
      </c>
      <c r="BH44" t="e">
        <f t="shared" si="30"/>
        <v>#DIV/0!</v>
      </c>
      <c r="BI44">
        <v>0</v>
      </c>
      <c r="BJ44" t="s">
        <v>439</v>
      </c>
      <c r="BK44" t="s">
        <v>439</v>
      </c>
      <c r="BL44">
        <v>0</v>
      </c>
      <c r="BM44">
        <v>0</v>
      </c>
      <c r="BN44" t="e">
        <f t="shared" si="31"/>
        <v>#DIV/0!</v>
      </c>
      <c r="BO44">
        <v>0.5</v>
      </c>
      <c r="BP44">
        <f t="shared" si="32"/>
        <v>1176.0494999623079</v>
      </c>
      <c r="BQ44">
        <f t="shared" si="33"/>
        <v>4.2823112179112632</v>
      </c>
      <c r="BR44" t="e">
        <f t="shared" si="34"/>
        <v>#DIV/0!</v>
      </c>
      <c r="BS44">
        <f t="shared" si="35"/>
        <v>3.641267836131481E-3</v>
      </c>
      <c r="BT44" t="e">
        <f t="shared" si="36"/>
        <v>#DIV/0!</v>
      </c>
      <c r="BU44" t="e">
        <f t="shared" si="37"/>
        <v>#DIV/0!</v>
      </c>
      <c r="BV44" t="s">
        <v>439</v>
      </c>
      <c r="BW44">
        <v>0</v>
      </c>
      <c r="BX44" t="e">
        <f t="shared" si="38"/>
        <v>#DIV/0!</v>
      </c>
      <c r="BY44" t="e">
        <f t="shared" si="39"/>
        <v>#DIV/0!</v>
      </c>
      <c r="BZ44" t="e">
        <f t="shared" si="40"/>
        <v>#DIV/0!</v>
      </c>
      <c r="CA44" t="e">
        <f t="shared" si="41"/>
        <v>#DIV/0!</v>
      </c>
      <c r="CB44" t="e">
        <f t="shared" si="42"/>
        <v>#DIV/0!</v>
      </c>
      <c r="CC44" t="e">
        <f t="shared" si="43"/>
        <v>#DIV/0!</v>
      </c>
      <c r="CD44" t="e">
        <f t="shared" si="44"/>
        <v>#DIV/0!</v>
      </c>
      <c r="CE44" t="e">
        <f t="shared" si="45"/>
        <v>#DIV/0!</v>
      </c>
      <c r="DN44">
        <f t="shared" si="46"/>
        <v>1399.71</v>
      </c>
      <c r="DO44">
        <f t="shared" si="47"/>
        <v>1176.0494999623079</v>
      </c>
      <c r="DP44">
        <f t="shared" si="48"/>
        <v>0.84020940049175041</v>
      </c>
      <c r="DQ44">
        <f t="shared" si="49"/>
        <v>0.19041880098350075</v>
      </c>
      <c r="DR44">
        <v>6</v>
      </c>
      <c r="DS44">
        <v>0.5</v>
      </c>
      <c r="DT44" t="s">
        <v>440</v>
      </c>
      <c r="DU44">
        <v>2</v>
      </c>
      <c r="DV44" t="b">
        <v>1</v>
      </c>
      <c r="DW44">
        <v>1707855826.5999999</v>
      </c>
      <c r="DX44">
        <v>407.05900000000003</v>
      </c>
      <c r="DY44">
        <v>399.976</v>
      </c>
      <c r="DZ44">
        <v>18.155200000000001</v>
      </c>
      <c r="EA44">
        <v>19.940200000000001</v>
      </c>
      <c r="EB44">
        <v>409.161</v>
      </c>
      <c r="EC44">
        <v>18.001200000000001</v>
      </c>
      <c r="ED44">
        <v>700.05100000000004</v>
      </c>
      <c r="EE44">
        <v>101.946</v>
      </c>
      <c r="EF44">
        <v>8.7420300000000006E-2</v>
      </c>
      <c r="EG44">
        <v>28.919899999999998</v>
      </c>
      <c r="EH44">
        <v>28.997399999999999</v>
      </c>
      <c r="EI44">
        <v>999.9</v>
      </c>
      <c r="EJ44">
        <v>0</v>
      </c>
      <c r="EK44">
        <v>0</v>
      </c>
      <c r="EL44">
        <v>10036.5</v>
      </c>
      <c r="EM44">
        <v>0</v>
      </c>
      <c r="EN44">
        <v>1.91117E-3</v>
      </c>
      <c r="EO44">
        <v>7.0827600000000004</v>
      </c>
      <c r="EP44">
        <v>414.58600000000001</v>
      </c>
      <c r="EQ44">
        <v>408.11399999999998</v>
      </c>
      <c r="ER44">
        <v>-1.7850600000000001</v>
      </c>
      <c r="ES44">
        <v>399.976</v>
      </c>
      <c r="ET44">
        <v>19.940200000000001</v>
      </c>
      <c r="EU44">
        <v>1.8508500000000001</v>
      </c>
      <c r="EV44">
        <v>2.0328300000000001</v>
      </c>
      <c r="EW44">
        <v>16.222999999999999</v>
      </c>
      <c r="EX44">
        <v>17.702400000000001</v>
      </c>
      <c r="EY44">
        <v>1399.71</v>
      </c>
      <c r="EZ44">
        <v>0.99299700000000002</v>
      </c>
      <c r="FA44">
        <v>7.0027800000000001E-3</v>
      </c>
      <c r="FB44">
        <v>0</v>
      </c>
      <c r="FC44">
        <v>401.27</v>
      </c>
      <c r="FD44">
        <v>5.0001800000000003</v>
      </c>
      <c r="FE44">
        <v>7488.28</v>
      </c>
      <c r="FF44">
        <v>12007.3</v>
      </c>
      <c r="FG44">
        <v>38.125</v>
      </c>
      <c r="FH44">
        <v>40.25</v>
      </c>
      <c r="FI44">
        <v>39</v>
      </c>
      <c r="FJ44">
        <v>39.186999999999998</v>
      </c>
      <c r="FK44">
        <v>39.436999999999998</v>
      </c>
      <c r="FL44">
        <v>1384.94</v>
      </c>
      <c r="FM44">
        <v>9.77</v>
      </c>
      <c r="FN44">
        <v>0</v>
      </c>
      <c r="FO44">
        <v>1685750236.5999999</v>
      </c>
      <c r="FP44">
        <v>0</v>
      </c>
      <c r="FQ44">
        <v>348.61757307692312</v>
      </c>
      <c r="FR44">
        <v>1679.9053163907811</v>
      </c>
      <c r="FS44">
        <v>-1281035.2815570859</v>
      </c>
      <c r="FT44">
        <v>92897.858461538461</v>
      </c>
      <c r="FU44">
        <v>15</v>
      </c>
      <c r="FV44">
        <v>1707843540</v>
      </c>
      <c r="FW44" t="s">
        <v>487</v>
      </c>
      <c r="FX44">
        <v>1707843539.5</v>
      </c>
      <c r="FY44">
        <v>1707843540</v>
      </c>
      <c r="FZ44">
        <v>1</v>
      </c>
      <c r="GA44">
        <v>-0.112</v>
      </c>
      <c r="GB44">
        <v>6.8000000000000005E-2</v>
      </c>
      <c r="GC44">
        <v>-2.09</v>
      </c>
      <c r="GD44">
        <v>0.03</v>
      </c>
      <c r="GE44">
        <v>400</v>
      </c>
      <c r="GF44">
        <v>11</v>
      </c>
      <c r="GG44">
        <v>0.28000000000000003</v>
      </c>
      <c r="GH44">
        <v>0.05</v>
      </c>
      <c r="GI44">
        <v>-29.800543267797462</v>
      </c>
      <c r="GJ44">
        <v>146.62331277557061</v>
      </c>
      <c r="GK44">
        <v>15.80984361991087</v>
      </c>
      <c r="GL44">
        <v>0</v>
      </c>
      <c r="GM44">
        <v>-0.30298665535894881</v>
      </c>
      <c r="GN44">
        <v>1.4585787621369191</v>
      </c>
      <c r="GO44">
        <v>0.16550901469332929</v>
      </c>
      <c r="GP44">
        <v>0</v>
      </c>
      <c r="GQ44">
        <v>0</v>
      </c>
      <c r="GR44">
        <v>2</v>
      </c>
      <c r="GS44" t="s">
        <v>442</v>
      </c>
      <c r="GT44">
        <v>3.36863</v>
      </c>
      <c r="GU44">
        <v>2.7819500000000001</v>
      </c>
      <c r="GV44">
        <v>9.8101099999999997E-2</v>
      </c>
      <c r="GW44">
        <v>9.6174700000000002E-2</v>
      </c>
      <c r="GX44">
        <v>9.4893699999999997E-2</v>
      </c>
      <c r="GY44">
        <v>0.10093299999999999</v>
      </c>
      <c r="GZ44">
        <v>21178.2</v>
      </c>
      <c r="HA44">
        <v>21814.400000000001</v>
      </c>
      <c r="HB44">
        <v>24944.9</v>
      </c>
      <c r="HC44">
        <v>25550.9</v>
      </c>
      <c r="HD44">
        <v>34333.4</v>
      </c>
      <c r="HE44">
        <v>34338.300000000003</v>
      </c>
      <c r="HF44">
        <v>41713.1</v>
      </c>
      <c r="HG44">
        <v>41341.199999999997</v>
      </c>
      <c r="HH44">
        <v>2.36646</v>
      </c>
      <c r="HI44">
        <v>2.3010000000000002</v>
      </c>
      <c r="HJ44">
        <v>6.9200999999999999E-2</v>
      </c>
      <c r="HK44">
        <v>0</v>
      </c>
      <c r="HL44">
        <v>27.868400000000001</v>
      </c>
      <c r="HM44">
        <v>999.9</v>
      </c>
      <c r="HN44">
        <v>46.7</v>
      </c>
      <c r="HO44">
        <v>33.799999999999997</v>
      </c>
      <c r="HP44">
        <v>24.2027</v>
      </c>
      <c r="HQ44">
        <v>60.793599999999998</v>
      </c>
      <c r="HR44">
        <v>9.3990399999999994</v>
      </c>
      <c r="HS44">
        <v>2</v>
      </c>
      <c r="HT44">
        <v>-8.6971500000000007E-3</v>
      </c>
      <c r="HU44">
        <v>0</v>
      </c>
      <c r="HV44">
        <v>20.325399999999998</v>
      </c>
      <c r="HW44">
        <v>5.1982400000000002</v>
      </c>
      <c r="HX44">
        <v>11.9201</v>
      </c>
      <c r="HY44">
        <v>4.9893999999999998</v>
      </c>
      <c r="HZ44">
        <v>3.2809200000000001</v>
      </c>
      <c r="IA44">
        <v>9999</v>
      </c>
      <c r="IB44">
        <v>9999</v>
      </c>
      <c r="IC44">
        <v>9999</v>
      </c>
      <c r="ID44">
        <v>153.69999999999999</v>
      </c>
      <c r="IE44">
        <v>4.9726299999999997</v>
      </c>
      <c r="IF44">
        <v>1.8597399999999999</v>
      </c>
      <c r="IG44">
        <v>1.8687400000000001</v>
      </c>
      <c r="IH44">
        <v>1.8641700000000001</v>
      </c>
      <c r="II44">
        <v>1.8660399999999999</v>
      </c>
      <c r="IJ44">
        <v>1.8623799999999999</v>
      </c>
      <c r="IK44">
        <v>1.8643799999999999</v>
      </c>
      <c r="IL44">
        <v>1.8623400000000001</v>
      </c>
      <c r="IM44">
        <v>0</v>
      </c>
      <c r="IN44">
        <v>0</v>
      </c>
      <c r="IO44">
        <v>0</v>
      </c>
      <c r="IP44">
        <v>0</v>
      </c>
      <c r="IQ44" t="s">
        <v>443</v>
      </c>
      <c r="IR44" t="s">
        <v>444</v>
      </c>
      <c r="IS44" t="s">
        <v>445</v>
      </c>
      <c r="IT44" t="s">
        <v>445</v>
      </c>
      <c r="IU44" t="s">
        <v>445</v>
      </c>
      <c r="IV44" t="s">
        <v>445</v>
      </c>
      <c r="IW44">
        <v>0</v>
      </c>
      <c r="IX44">
        <v>100</v>
      </c>
      <c r="IY44">
        <v>100</v>
      </c>
      <c r="IZ44">
        <v>-2.1019999999999999</v>
      </c>
      <c r="JA44">
        <v>0.154</v>
      </c>
      <c r="JB44">
        <v>-1.252214354925264</v>
      </c>
      <c r="JC44">
        <v>-2.4932477295996069E-3</v>
      </c>
      <c r="JD44">
        <v>1.159696634280317E-6</v>
      </c>
      <c r="JE44">
        <v>-3.5013845820821591E-10</v>
      </c>
      <c r="JF44">
        <v>-1.8539783221661419E-2</v>
      </c>
      <c r="JG44">
        <v>-7.5935071553627593E-3</v>
      </c>
      <c r="JH44">
        <v>1.367325239740887E-3</v>
      </c>
      <c r="JI44">
        <v>-2.2944115828177239E-5</v>
      </c>
      <c r="JJ44">
        <v>2</v>
      </c>
      <c r="JK44">
        <v>2118</v>
      </c>
      <c r="JL44">
        <v>1</v>
      </c>
      <c r="JM44">
        <v>27</v>
      </c>
      <c r="JN44">
        <v>204.8</v>
      </c>
      <c r="JO44">
        <v>204.8</v>
      </c>
      <c r="JP44">
        <v>1.2793000000000001</v>
      </c>
      <c r="JQ44">
        <v>2.5598100000000001</v>
      </c>
      <c r="JR44">
        <v>2.19604</v>
      </c>
      <c r="JS44">
        <v>2.6879900000000001</v>
      </c>
      <c r="JT44">
        <v>2.1496599999999999</v>
      </c>
      <c r="JU44">
        <v>2.4633799999999999</v>
      </c>
      <c r="JV44">
        <v>41.717399999999998</v>
      </c>
      <c r="JW44">
        <v>23.877400000000002</v>
      </c>
      <c r="JX44">
        <v>18</v>
      </c>
      <c r="JY44">
        <v>695.30399999999997</v>
      </c>
      <c r="JZ44">
        <v>716.41600000000005</v>
      </c>
      <c r="KA44">
        <v>28.488700000000001</v>
      </c>
      <c r="KB44">
        <v>27.421299999999999</v>
      </c>
      <c r="KC44">
        <v>30.000800000000002</v>
      </c>
      <c r="KD44">
        <v>27.385999999999999</v>
      </c>
      <c r="KE44">
        <v>27.3582</v>
      </c>
      <c r="KF44">
        <v>25.689299999999999</v>
      </c>
      <c r="KG44">
        <v>24.0991</v>
      </c>
      <c r="KH44">
        <v>66.857900000000001</v>
      </c>
      <c r="KI44">
        <v>-999.9</v>
      </c>
      <c r="KJ44">
        <v>400</v>
      </c>
      <c r="KK44">
        <v>19.9329</v>
      </c>
      <c r="KL44">
        <v>101.11</v>
      </c>
      <c r="KM44">
        <v>101.095</v>
      </c>
    </row>
    <row r="45" spans="1:299" x14ac:dyDescent="0.2">
      <c r="A45">
        <v>29</v>
      </c>
      <c r="B45" t="s">
        <v>538</v>
      </c>
      <c r="C45">
        <v>7</v>
      </c>
      <c r="D45">
        <v>1707856035.0999999</v>
      </c>
      <c r="E45">
        <v>1374.099999904633</v>
      </c>
      <c r="F45" t="s">
        <v>502</v>
      </c>
      <c r="G45" t="s">
        <v>503</v>
      </c>
      <c r="H45" t="s">
        <v>436</v>
      </c>
      <c r="I45" t="s">
        <v>437</v>
      </c>
      <c r="J45" t="s">
        <v>438</v>
      </c>
      <c r="M45" t="s">
        <v>438</v>
      </c>
      <c r="O45">
        <v>1707856035.0999999</v>
      </c>
      <c r="P45">
        <f t="shared" si="0"/>
        <v>9.8621350976061837E-4</v>
      </c>
      <c r="Q45">
        <f t="shared" si="1"/>
        <v>0.98621350976061828</v>
      </c>
      <c r="R45">
        <f t="shared" si="2"/>
        <v>4.2820693920486494</v>
      </c>
      <c r="S45">
        <f t="shared" si="3"/>
        <v>403.26299999999998</v>
      </c>
      <c r="T45">
        <f t="shared" si="4"/>
        <v>252.99683745594072</v>
      </c>
      <c r="U45">
        <f t="shared" si="5"/>
        <v>25.81001092743568</v>
      </c>
      <c r="V45">
        <f t="shared" si="6"/>
        <v>41.139733370948093</v>
      </c>
      <c r="W45">
        <f t="shared" si="7"/>
        <v>4.9428983695295414E-2</v>
      </c>
      <c r="X45">
        <f t="shared" si="8"/>
        <v>2.9639209583983672</v>
      </c>
      <c r="Y45">
        <f t="shared" si="9"/>
        <v>4.8975561954589207E-2</v>
      </c>
      <c r="Z45">
        <f t="shared" si="10"/>
        <v>3.0650117583886555E-2</v>
      </c>
      <c r="AA45">
        <f t="shared" si="11"/>
        <v>266.59699992471178</v>
      </c>
      <c r="AB45">
        <f t="shared" si="12"/>
        <v>30.181197011500895</v>
      </c>
      <c r="AC45">
        <f t="shared" si="13"/>
        <v>28.487500000000001</v>
      </c>
      <c r="AD45">
        <f t="shared" si="14"/>
        <v>3.9040337915777501</v>
      </c>
      <c r="AE45">
        <f t="shared" si="15"/>
        <v>47.774893687986328</v>
      </c>
      <c r="AF45">
        <f t="shared" si="16"/>
        <v>1.9082507957592401</v>
      </c>
      <c r="AG45">
        <f t="shared" si="17"/>
        <v>3.9942544052988578</v>
      </c>
      <c r="AH45">
        <f t="shared" si="18"/>
        <v>1.99578299581851</v>
      </c>
      <c r="AI45">
        <f t="shared" si="19"/>
        <v>-43.492015780443268</v>
      </c>
      <c r="AJ45">
        <f t="shared" si="20"/>
        <v>62.941638152742932</v>
      </c>
      <c r="AK45">
        <f t="shared" si="21"/>
        <v>4.6605974542156972</v>
      </c>
      <c r="AL45">
        <f t="shared" si="22"/>
        <v>290.70721975122711</v>
      </c>
      <c r="AM45">
        <f t="shared" si="23"/>
        <v>-3.4454335032716541</v>
      </c>
      <c r="AN45">
        <f t="shared" si="24"/>
        <v>-0.9914012858317397</v>
      </c>
      <c r="AO45">
        <f t="shared" si="25"/>
        <v>4.2820693920486494</v>
      </c>
      <c r="AP45">
        <v>407.94026434444771</v>
      </c>
      <c r="AQ45">
        <v>411.71193939393942</v>
      </c>
      <c r="AR45">
        <v>-1.9332782354067091</v>
      </c>
      <c r="AS45">
        <v>67.026297352215394</v>
      </c>
      <c r="AT45">
        <f t="shared" si="26"/>
        <v>0.98621350976061828</v>
      </c>
      <c r="AU45">
        <v>19.53476148231745</v>
      </c>
      <c r="AV45">
        <v>18.5885</v>
      </c>
      <c r="AW45">
        <v>0.38774093360475081</v>
      </c>
      <c r="AX45">
        <v>78.971652199364797</v>
      </c>
      <c r="AY45">
        <v>281</v>
      </c>
      <c r="AZ45">
        <v>40</v>
      </c>
      <c r="BA45">
        <f t="shared" si="27"/>
        <v>1</v>
      </c>
      <c r="BB45">
        <f t="shared" si="28"/>
        <v>0</v>
      </c>
      <c r="BC45">
        <f t="shared" si="29"/>
        <v>53583.515561305758</v>
      </c>
      <c r="BD45" t="s">
        <v>439</v>
      </c>
      <c r="BE45" t="s">
        <v>439</v>
      </c>
      <c r="BF45">
        <v>0</v>
      </c>
      <c r="BG45">
        <v>0</v>
      </c>
      <c r="BH45" t="e">
        <f t="shared" si="30"/>
        <v>#DIV/0!</v>
      </c>
      <c r="BI45">
        <v>0</v>
      </c>
      <c r="BJ45" t="s">
        <v>439</v>
      </c>
      <c r="BK45" t="s">
        <v>439</v>
      </c>
      <c r="BL45">
        <v>0</v>
      </c>
      <c r="BM45">
        <v>0</v>
      </c>
      <c r="BN45" t="e">
        <f t="shared" si="31"/>
        <v>#DIV/0!</v>
      </c>
      <c r="BO45">
        <v>0.5</v>
      </c>
      <c r="BP45">
        <f t="shared" si="32"/>
        <v>1176.3431999623558</v>
      </c>
      <c r="BQ45">
        <f t="shared" si="33"/>
        <v>4.2820693920486494</v>
      </c>
      <c r="BR45" t="e">
        <f t="shared" si="34"/>
        <v>#DIV/0!</v>
      </c>
      <c r="BS45">
        <f t="shared" si="35"/>
        <v>3.6401531391397342E-3</v>
      </c>
      <c r="BT45" t="e">
        <f t="shared" si="36"/>
        <v>#DIV/0!</v>
      </c>
      <c r="BU45" t="e">
        <f t="shared" si="37"/>
        <v>#DIV/0!</v>
      </c>
      <c r="BV45" t="s">
        <v>439</v>
      </c>
      <c r="BW45">
        <v>0</v>
      </c>
      <c r="BX45" t="e">
        <f t="shared" si="38"/>
        <v>#DIV/0!</v>
      </c>
      <c r="BY45" t="e">
        <f t="shared" si="39"/>
        <v>#DIV/0!</v>
      </c>
      <c r="BZ45" t="e">
        <f t="shared" si="40"/>
        <v>#DIV/0!</v>
      </c>
      <c r="CA45" t="e">
        <f t="shared" si="41"/>
        <v>#DIV/0!</v>
      </c>
      <c r="CB45" t="e">
        <f t="shared" si="42"/>
        <v>#DIV/0!</v>
      </c>
      <c r="CC45" t="e">
        <f t="shared" si="43"/>
        <v>#DIV/0!</v>
      </c>
      <c r="CD45" t="e">
        <f t="shared" si="44"/>
        <v>#DIV/0!</v>
      </c>
      <c r="CE45" t="e">
        <f t="shared" si="45"/>
        <v>#DIV/0!</v>
      </c>
      <c r="DN45">
        <f t="shared" si="46"/>
        <v>1400.06</v>
      </c>
      <c r="DO45">
        <f t="shared" si="47"/>
        <v>1176.3431999623558</v>
      </c>
      <c r="DP45">
        <f t="shared" si="48"/>
        <v>0.84020913386737417</v>
      </c>
      <c r="DQ45">
        <f t="shared" si="49"/>
        <v>0.19041826773474838</v>
      </c>
      <c r="DR45">
        <v>6</v>
      </c>
      <c r="DS45">
        <v>0.5</v>
      </c>
      <c r="DT45" t="s">
        <v>440</v>
      </c>
      <c r="DU45">
        <v>2</v>
      </c>
      <c r="DV45" t="b">
        <v>1</v>
      </c>
      <c r="DW45">
        <v>1707856035.0999999</v>
      </c>
      <c r="DX45">
        <v>403.26299999999998</v>
      </c>
      <c r="DY45">
        <v>399.96699999999998</v>
      </c>
      <c r="DZ45">
        <v>18.705200000000001</v>
      </c>
      <c r="EA45">
        <v>19.539100000000001</v>
      </c>
      <c r="EB45">
        <v>405.358</v>
      </c>
      <c r="EC45">
        <v>18.540800000000001</v>
      </c>
      <c r="ED45">
        <v>699.98099999999999</v>
      </c>
      <c r="EE45">
        <v>101.94199999999999</v>
      </c>
      <c r="EF45">
        <v>7.5128700000000007E-2</v>
      </c>
      <c r="EG45">
        <v>28.881399999999999</v>
      </c>
      <c r="EH45">
        <v>28.487500000000001</v>
      </c>
      <c r="EI45">
        <v>999.9</v>
      </c>
      <c r="EJ45">
        <v>0</v>
      </c>
      <c r="EK45">
        <v>0</v>
      </c>
      <c r="EL45">
        <v>10003</v>
      </c>
      <c r="EM45">
        <v>0</v>
      </c>
      <c r="EN45">
        <v>1.91117E-3</v>
      </c>
      <c r="EO45">
        <v>3.2956799999999999</v>
      </c>
      <c r="EP45">
        <v>410.95</v>
      </c>
      <c r="EQ45">
        <v>407.93799999999999</v>
      </c>
      <c r="ER45">
        <v>-0.83387800000000001</v>
      </c>
      <c r="ES45">
        <v>399.96699999999998</v>
      </c>
      <c r="ET45">
        <v>19.539100000000001</v>
      </c>
      <c r="EU45">
        <v>1.9068400000000001</v>
      </c>
      <c r="EV45">
        <v>1.9918499999999999</v>
      </c>
      <c r="EW45">
        <v>16.691299999999998</v>
      </c>
      <c r="EX45">
        <v>17.3797</v>
      </c>
      <c r="EY45">
        <v>1400.06</v>
      </c>
      <c r="EZ45">
        <v>0.99300600000000006</v>
      </c>
      <c r="FA45">
        <v>6.99389E-3</v>
      </c>
      <c r="FB45">
        <v>0</v>
      </c>
      <c r="FC45">
        <v>441.28300000000002</v>
      </c>
      <c r="FD45">
        <v>5.0001800000000003</v>
      </c>
      <c r="FE45">
        <v>8497.32</v>
      </c>
      <c r="FF45">
        <v>12010.3</v>
      </c>
      <c r="FG45">
        <v>37.5</v>
      </c>
      <c r="FH45">
        <v>39.811999999999998</v>
      </c>
      <c r="FI45">
        <v>38.436999999999998</v>
      </c>
      <c r="FJ45">
        <v>38.375</v>
      </c>
      <c r="FK45">
        <v>38.75</v>
      </c>
      <c r="FL45">
        <v>1385.3</v>
      </c>
      <c r="FM45">
        <v>9.76</v>
      </c>
      <c r="FN45">
        <v>0</v>
      </c>
      <c r="FO45">
        <v>1685750445.4000001</v>
      </c>
      <c r="FP45">
        <v>0</v>
      </c>
      <c r="FQ45">
        <v>420.77846153846161</v>
      </c>
      <c r="FR45">
        <v>530.90625531776993</v>
      </c>
      <c r="FS45">
        <v>-824148.17681717011</v>
      </c>
      <c r="FT45">
        <v>47838.19192307692</v>
      </c>
      <c r="FU45">
        <v>15</v>
      </c>
      <c r="FV45">
        <v>1707843540</v>
      </c>
      <c r="FW45" t="s">
        <v>487</v>
      </c>
      <c r="FX45">
        <v>1707843539.5</v>
      </c>
      <c r="FY45">
        <v>1707843540</v>
      </c>
      <c r="FZ45">
        <v>1</v>
      </c>
      <c r="GA45">
        <v>-0.112</v>
      </c>
      <c r="GB45">
        <v>6.8000000000000005E-2</v>
      </c>
      <c r="GC45">
        <v>-2.09</v>
      </c>
      <c r="GD45">
        <v>0.03</v>
      </c>
      <c r="GE45">
        <v>400</v>
      </c>
      <c r="GF45">
        <v>11</v>
      </c>
      <c r="GG45">
        <v>0.28000000000000003</v>
      </c>
      <c r="GH45">
        <v>0.05</v>
      </c>
      <c r="GI45">
        <v>-30.21970601517264</v>
      </c>
      <c r="GJ45">
        <v>79.344840347829944</v>
      </c>
      <c r="GK45">
        <v>61.025630382775248</v>
      </c>
      <c r="GL45">
        <v>0</v>
      </c>
      <c r="GM45">
        <v>-0.13412021804786109</v>
      </c>
      <c r="GN45">
        <v>-0.19146680188987411</v>
      </c>
      <c r="GO45">
        <v>0.21918887728687839</v>
      </c>
      <c r="GP45">
        <v>0</v>
      </c>
      <c r="GQ45">
        <v>0</v>
      </c>
      <c r="GR45">
        <v>2</v>
      </c>
      <c r="GS45" t="s">
        <v>442</v>
      </c>
      <c r="GT45">
        <v>3.3683800000000002</v>
      </c>
      <c r="GU45">
        <v>2.7693699999999999</v>
      </c>
      <c r="GV45">
        <v>9.7370999999999999E-2</v>
      </c>
      <c r="GW45">
        <v>9.6130400000000005E-2</v>
      </c>
      <c r="GX45">
        <v>9.6919699999999998E-2</v>
      </c>
      <c r="GY45">
        <v>9.9445000000000006E-2</v>
      </c>
      <c r="GZ45">
        <v>21186.9</v>
      </c>
      <c r="HA45">
        <v>21807</v>
      </c>
      <c r="HB45">
        <v>24935.9</v>
      </c>
      <c r="HC45">
        <v>25542</v>
      </c>
      <c r="HD45">
        <v>34243.1</v>
      </c>
      <c r="HE45">
        <v>34384.199999999997</v>
      </c>
      <c r="HF45">
        <v>41696.9</v>
      </c>
      <c r="HG45">
        <v>41328</v>
      </c>
      <c r="HH45">
        <v>1.9065799999999999</v>
      </c>
      <c r="HI45">
        <v>2.2945199999999999</v>
      </c>
      <c r="HJ45">
        <v>7.2032200000000005E-2</v>
      </c>
      <c r="HK45">
        <v>0</v>
      </c>
      <c r="HL45">
        <v>27.311199999999999</v>
      </c>
      <c r="HM45">
        <v>999.9</v>
      </c>
      <c r="HN45">
        <v>46</v>
      </c>
      <c r="HO45">
        <v>34.1</v>
      </c>
      <c r="HP45">
        <v>24.243200000000002</v>
      </c>
      <c r="HQ45">
        <v>61.1036</v>
      </c>
      <c r="HR45">
        <v>8.1009600000000006</v>
      </c>
      <c r="HS45">
        <v>2</v>
      </c>
      <c r="HT45">
        <v>6.1402399999999999E-3</v>
      </c>
      <c r="HU45">
        <v>0</v>
      </c>
      <c r="HV45">
        <v>20.326499999999999</v>
      </c>
      <c r="HW45">
        <v>5.2017199999999999</v>
      </c>
      <c r="HX45">
        <v>11.9201</v>
      </c>
      <c r="HY45">
        <v>4.99</v>
      </c>
      <c r="HZ45">
        <v>3.2814000000000001</v>
      </c>
      <c r="IA45">
        <v>9999</v>
      </c>
      <c r="IB45">
        <v>9999</v>
      </c>
      <c r="IC45">
        <v>9999</v>
      </c>
      <c r="ID45">
        <v>153.80000000000001</v>
      </c>
      <c r="IE45">
        <v>4.9726400000000002</v>
      </c>
      <c r="IF45">
        <v>1.8597399999999999</v>
      </c>
      <c r="IG45">
        <v>1.8687400000000001</v>
      </c>
      <c r="IH45">
        <v>1.86415</v>
      </c>
      <c r="II45">
        <v>1.8660000000000001</v>
      </c>
      <c r="IJ45">
        <v>1.8623499999999999</v>
      </c>
      <c r="IK45">
        <v>1.8643700000000001</v>
      </c>
      <c r="IL45">
        <v>1.8622799999999999</v>
      </c>
      <c r="IM45">
        <v>0</v>
      </c>
      <c r="IN45">
        <v>0</v>
      </c>
      <c r="IO45">
        <v>0</v>
      </c>
      <c r="IP45">
        <v>0</v>
      </c>
      <c r="IQ45" t="s">
        <v>443</v>
      </c>
      <c r="IR45" t="s">
        <v>444</v>
      </c>
      <c r="IS45" t="s">
        <v>445</v>
      </c>
      <c r="IT45" t="s">
        <v>445</v>
      </c>
      <c r="IU45" t="s">
        <v>445</v>
      </c>
      <c r="IV45" t="s">
        <v>445</v>
      </c>
      <c r="IW45">
        <v>0</v>
      </c>
      <c r="IX45">
        <v>100</v>
      </c>
      <c r="IY45">
        <v>100</v>
      </c>
      <c r="IZ45">
        <v>-2.0950000000000002</v>
      </c>
      <c r="JA45">
        <v>0.16439999999999999</v>
      </c>
      <c r="JB45">
        <v>-1.252214354925264</v>
      </c>
      <c r="JC45">
        <v>-2.4932477295996069E-3</v>
      </c>
      <c r="JD45">
        <v>1.159696634280317E-6</v>
      </c>
      <c r="JE45">
        <v>-3.5013845820821591E-10</v>
      </c>
      <c r="JF45">
        <v>-1.8539783221661419E-2</v>
      </c>
      <c r="JG45">
        <v>-7.5935071553627593E-3</v>
      </c>
      <c r="JH45">
        <v>1.367325239740887E-3</v>
      </c>
      <c r="JI45">
        <v>-2.2944115828177239E-5</v>
      </c>
      <c r="JJ45">
        <v>2</v>
      </c>
      <c r="JK45">
        <v>2118</v>
      </c>
      <c r="JL45">
        <v>1</v>
      </c>
      <c r="JM45">
        <v>27</v>
      </c>
      <c r="JN45">
        <v>208.3</v>
      </c>
      <c r="JO45">
        <v>208.3</v>
      </c>
      <c r="JP45">
        <v>1.2817400000000001</v>
      </c>
      <c r="JQ45">
        <v>2.5683600000000002</v>
      </c>
      <c r="JR45">
        <v>2.19604</v>
      </c>
      <c r="JS45">
        <v>2.6867700000000001</v>
      </c>
      <c r="JT45">
        <v>2.1484399999999999</v>
      </c>
      <c r="JU45">
        <v>2.47925</v>
      </c>
      <c r="JV45">
        <v>41.586599999999997</v>
      </c>
      <c r="JW45">
        <v>23.877400000000002</v>
      </c>
      <c r="JX45">
        <v>18</v>
      </c>
      <c r="JY45">
        <v>407.35199999999998</v>
      </c>
      <c r="JZ45">
        <v>712.572</v>
      </c>
      <c r="KA45">
        <v>28.541899999999998</v>
      </c>
      <c r="KB45">
        <v>27.5975</v>
      </c>
      <c r="KC45">
        <v>30.0002</v>
      </c>
      <c r="KD45">
        <v>27.523</v>
      </c>
      <c r="KE45">
        <v>27.498000000000001</v>
      </c>
      <c r="KF45">
        <v>25.7224</v>
      </c>
      <c r="KG45">
        <v>25.770299999999999</v>
      </c>
      <c r="KH45">
        <v>66.486699999999999</v>
      </c>
      <c r="KI45">
        <v>-999.9</v>
      </c>
      <c r="KJ45">
        <v>400</v>
      </c>
      <c r="KK45">
        <v>19.5093</v>
      </c>
      <c r="KL45">
        <v>101.071</v>
      </c>
      <c r="KM45">
        <v>101.062</v>
      </c>
    </row>
    <row r="46" spans="1:299" x14ac:dyDescent="0.2">
      <c r="A46">
        <v>30</v>
      </c>
      <c r="B46" t="s">
        <v>538</v>
      </c>
      <c r="C46">
        <v>8</v>
      </c>
      <c r="D46">
        <v>1707856540.0999999</v>
      </c>
      <c r="E46">
        <v>1879.099999904633</v>
      </c>
      <c r="F46" t="s">
        <v>504</v>
      </c>
      <c r="G46" t="s">
        <v>505</v>
      </c>
      <c r="H46" t="s">
        <v>436</v>
      </c>
      <c r="I46" t="s">
        <v>437</v>
      </c>
      <c r="J46" t="s">
        <v>438</v>
      </c>
      <c r="M46" t="s">
        <v>438</v>
      </c>
      <c r="O46">
        <v>1707856540.0999999</v>
      </c>
      <c r="P46">
        <f t="shared" si="0"/>
        <v>1.4365842878712369E-3</v>
      </c>
      <c r="Q46">
        <f t="shared" si="1"/>
        <v>1.4365842878712369</v>
      </c>
      <c r="R46">
        <f t="shared" si="2"/>
        <v>3.1528828555702679</v>
      </c>
      <c r="S46">
        <f t="shared" si="3"/>
        <v>404.63499999999999</v>
      </c>
      <c r="T46">
        <f t="shared" si="4"/>
        <v>314.15221044037565</v>
      </c>
      <c r="U46">
        <f t="shared" si="5"/>
        <v>32.049676439537855</v>
      </c>
      <c r="V46">
        <f t="shared" si="6"/>
        <v>41.280692591445998</v>
      </c>
      <c r="W46">
        <f t="shared" si="7"/>
        <v>6.5564222147198745E-2</v>
      </c>
      <c r="X46">
        <f t="shared" si="8"/>
        <v>2.9630420447855137</v>
      </c>
      <c r="Y46">
        <f t="shared" si="9"/>
        <v>6.4768797073084416E-2</v>
      </c>
      <c r="Z46">
        <f t="shared" si="10"/>
        <v>4.055115983767444E-2</v>
      </c>
      <c r="AA46">
        <f t="shared" si="11"/>
        <v>266.58049992462986</v>
      </c>
      <c r="AB46">
        <f t="shared" si="12"/>
        <v>30.359577395187827</v>
      </c>
      <c r="AC46">
        <f t="shared" si="13"/>
        <v>29.304500000000001</v>
      </c>
      <c r="AD46">
        <f t="shared" si="14"/>
        <v>4.0931833155498074</v>
      </c>
      <c r="AE46">
        <f t="shared" si="15"/>
        <v>46.68702751819815</v>
      </c>
      <c r="AF46">
        <f t="shared" si="16"/>
        <v>1.8967990337130003</v>
      </c>
      <c r="AG46">
        <f t="shared" si="17"/>
        <v>4.0627967436428598</v>
      </c>
      <c r="AH46">
        <f t="shared" si="18"/>
        <v>2.1963842818368073</v>
      </c>
      <c r="AI46">
        <f t="shared" si="19"/>
        <v>-63.353367095121548</v>
      </c>
      <c r="AJ46">
        <f t="shared" si="20"/>
        <v>-20.606914430683702</v>
      </c>
      <c r="AK46">
        <f t="shared" si="21"/>
        <v>-1.5347661179303744</v>
      </c>
      <c r="AL46">
        <f t="shared" si="22"/>
        <v>181.08545228089426</v>
      </c>
      <c r="AM46">
        <f t="shared" si="23"/>
        <v>-4.7019052582945706</v>
      </c>
      <c r="AN46">
        <f t="shared" si="24"/>
        <v>-1.7523541505439892</v>
      </c>
      <c r="AO46">
        <f t="shared" si="25"/>
        <v>3.1528828555702679</v>
      </c>
      <c r="AP46">
        <v>408.17085370834269</v>
      </c>
      <c r="AQ46">
        <v>413.08671515151502</v>
      </c>
      <c r="AR46">
        <v>-1.976155545515182</v>
      </c>
      <c r="AS46">
        <v>67.027470628193612</v>
      </c>
      <c r="AT46">
        <f t="shared" si="26"/>
        <v>1.4365842878712369</v>
      </c>
      <c r="AU46">
        <v>20.072911215127942</v>
      </c>
      <c r="AV46">
        <v>18.413062424242419</v>
      </c>
      <c r="AW46">
        <v>0.6296575351020306</v>
      </c>
      <c r="AX46">
        <v>78.636904072321116</v>
      </c>
      <c r="AY46">
        <v>7</v>
      </c>
      <c r="AZ46">
        <v>1</v>
      </c>
      <c r="BA46">
        <f t="shared" si="27"/>
        <v>1</v>
      </c>
      <c r="BB46">
        <f t="shared" si="28"/>
        <v>0</v>
      </c>
      <c r="BC46">
        <f t="shared" si="29"/>
        <v>53505.584045471092</v>
      </c>
      <c r="BD46" t="s">
        <v>439</v>
      </c>
      <c r="BE46" t="s">
        <v>439</v>
      </c>
      <c r="BF46">
        <v>0</v>
      </c>
      <c r="BG46">
        <v>0</v>
      </c>
      <c r="BH46" t="e">
        <f t="shared" si="30"/>
        <v>#DIV/0!</v>
      </c>
      <c r="BI46">
        <v>0</v>
      </c>
      <c r="BJ46" t="s">
        <v>439</v>
      </c>
      <c r="BK46" t="s">
        <v>439</v>
      </c>
      <c r="BL46">
        <v>0</v>
      </c>
      <c r="BM46">
        <v>0</v>
      </c>
      <c r="BN46" t="e">
        <f t="shared" si="31"/>
        <v>#DIV/0!</v>
      </c>
      <c r="BO46">
        <v>0.5</v>
      </c>
      <c r="BP46">
        <f t="shared" si="32"/>
        <v>1176.2678999623149</v>
      </c>
      <c r="BQ46">
        <f t="shared" si="33"/>
        <v>3.1528828555702679</v>
      </c>
      <c r="BR46" t="e">
        <f t="shared" si="34"/>
        <v>#DIV/0!</v>
      </c>
      <c r="BS46">
        <f t="shared" si="35"/>
        <v>2.6804122221402789E-3</v>
      </c>
      <c r="BT46" t="e">
        <f t="shared" si="36"/>
        <v>#DIV/0!</v>
      </c>
      <c r="BU46" t="e">
        <f t="shared" si="37"/>
        <v>#DIV/0!</v>
      </c>
      <c r="BV46" t="s">
        <v>439</v>
      </c>
      <c r="BW46">
        <v>0</v>
      </c>
      <c r="BX46" t="e">
        <f t="shared" si="38"/>
        <v>#DIV/0!</v>
      </c>
      <c r="BY46" t="e">
        <f t="shared" si="39"/>
        <v>#DIV/0!</v>
      </c>
      <c r="BZ46" t="e">
        <f t="shared" si="40"/>
        <v>#DIV/0!</v>
      </c>
      <c r="CA46" t="e">
        <f t="shared" si="41"/>
        <v>#DIV/0!</v>
      </c>
      <c r="CB46" t="e">
        <f t="shared" si="42"/>
        <v>#DIV/0!</v>
      </c>
      <c r="CC46" t="e">
        <f t="shared" si="43"/>
        <v>#DIV/0!</v>
      </c>
      <c r="CD46" t="e">
        <f t="shared" si="44"/>
        <v>#DIV/0!</v>
      </c>
      <c r="CE46" t="e">
        <f t="shared" si="45"/>
        <v>#DIV/0!</v>
      </c>
      <c r="DN46">
        <f t="shared" si="46"/>
        <v>1399.97</v>
      </c>
      <c r="DO46">
        <f t="shared" si="47"/>
        <v>1176.2678999623149</v>
      </c>
      <c r="DP46">
        <f t="shared" si="48"/>
        <v>0.84020936160225923</v>
      </c>
      <c r="DQ46">
        <f t="shared" si="49"/>
        <v>0.19041872320451858</v>
      </c>
      <c r="DR46">
        <v>6</v>
      </c>
      <c r="DS46">
        <v>0.5</v>
      </c>
      <c r="DT46" t="s">
        <v>440</v>
      </c>
      <c r="DU46">
        <v>2</v>
      </c>
      <c r="DV46" t="b">
        <v>1</v>
      </c>
      <c r="DW46">
        <v>1707856540.0999999</v>
      </c>
      <c r="DX46">
        <v>404.63499999999999</v>
      </c>
      <c r="DY46">
        <v>399.99700000000001</v>
      </c>
      <c r="DZ46">
        <v>18.592500000000001</v>
      </c>
      <c r="EA46">
        <v>20.066600000000001</v>
      </c>
      <c r="EB46">
        <v>406.733</v>
      </c>
      <c r="EC46">
        <v>18.430199999999999</v>
      </c>
      <c r="ED46">
        <v>699.99599999999998</v>
      </c>
      <c r="EE46">
        <v>101.932</v>
      </c>
      <c r="EF46">
        <v>8.7579599999999994E-2</v>
      </c>
      <c r="EG46">
        <v>29.1755</v>
      </c>
      <c r="EH46">
        <v>29.304500000000001</v>
      </c>
      <c r="EI46">
        <v>999.9</v>
      </c>
      <c r="EJ46">
        <v>0</v>
      </c>
      <c r="EK46">
        <v>0</v>
      </c>
      <c r="EL46">
        <v>9999</v>
      </c>
      <c r="EM46">
        <v>0</v>
      </c>
      <c r="EN46">
        <v>1.91117E-3</v>
      </c>
      <c r="EO46">
        <v>4.63788</v>
      </c>
      <c r="EP46">
        <v>412.30099999999999</v>
      </c>
      <c r="EQ46">
        <v>408.18799999999999</v>
      </c>
      <c r="ER46">
        <v>-1.4741200000000001</v>
      </c>
      <c r="ES46">
        <v>399.99700000000001</v>
      </c>
      <c r="ET46">
        <v>20.066600000000001</v>
      </c>
      <c r="EU46">
        <v>1.89517</v>
      </c>
      <c r="EV46">
        <v>2.0454300000000001</v>
      </c>
      <c r="EW46">
        <v>16.5947</v>
      </c>
      <c r="EX46">
        <v>17.8005</v>
      </c>
      <c r="EY46">
        <v>1399.97</v>
      </c>
      <c r="EZ46">
        <v>0.99299899999999997</v>
      </c>
      <c r="FA46">
        <v>7.0013000000000002E-3</v>
      </c>
      <c r="FB46">
        <v>0</v>
      </c>
      <c r="FC46">
        <v>422.017</v>
      </c>
      <c r="FD46">
        <v>5.0001800000000003</v>
      </c>
      <c r="FE46">
        <v>7988.77</v>
      </c>
      <c r="FF46">
        <v>12009.5</v>
      </c>
      <c r="FG46">
        <v>37.436999999999998</v>
      </c>
      <c r="FH46">
        <v>39.875</v>
      </c>
      <c r="FI46">
        <v>38.311999999999998</v>
      </c>
      <c r="FJ46">
        <v>38.875</v>
      </c>
      <c r="FK46">
        <v>38.811999999999998</v>
      </c>
      <c r="FL46">
        <v>1385.2</v>
      </c>
      <c r="FM46">
        <v>9.77</v>
      </c>
      <c r="FN46">
        <v>0</v>
      </c>
      <c r="FO46">
        <v>1685750950</v>
      </c>
      <c r="FP46">
        <v>0</v>
      </c>
      <c r="FQ46">
        <v>418.59775999999999</v>
      </c>
      <c r="FR46">
        <v>259.37445818383509</v>
      </c>
      <c r="FS46">
        <v>-442688.87149854639</v>
      </c>
      <c r="FT46">
        <v>39732.016399999993</v>
      </c>
      <c r="FU46">
        <v>15</v>
      </c>
      <c r="FV46">
        <v>1707843540</v>
      </c>
      <c r="FW46" t="s">
        <v>487</v>
      </c>
      <c r="FX46">
        <v>1707843539.5</v>
      </c>
      <c r="FY46">
        <v>1707843540</v>
      </c>
      <c r="FZ46">
        <v>1</v>
      </c>
      <c r="GA46">
        <v>-0.112</v>
      </c>
      <c r="GB46">
        <v>6.8000000000000005E-2</v>
      </c>
      <c r="GC46">
        <v>-2.09</v>
      </c>
      <c r="GD46">
        <v>0.03</v>
      </c>
      <c r="GE46">
        <v>400</v>
      </c>
      <c r="GF46">
        <v>11</v>
      </c>
      <c r="GG46">
        <v>0.28000000000000003</v>
      </c>
      <c r="GH46">
        <v>0.05</v>
      </c>
      <c r="GI46">
        <v>-19.366018621669792</v>
      </c>
      <c r="GJ46">
        <v>31.87620446831118</v>
      </c>
      <c r="GK46">
        <v>20.391547896552431</v>
      </c>
      <c r="GL46">
        <v>0</v>
      </c>
      <c r="GM46">
        <v>-0.20946509638004959</v>
      </c>
      <c r="GN46">
        <v>0.2237242356496674</v>
      </c>
      <c r="GO46">
        <v>0.24650121029403119</v>
      </c>
      <c r="GP46">
        <v>0</v>
      </c>
      <c r="GQ46">
        <v>0</v>
      </c>
      <c r="GR46">
        <v>2</v>
      </c>
      <c r="GS46" t="s">
        <v>442</v>
      </c>
      <c r="GT46">
        <v>3.3685900000000002</v>
      </c>
      <c r="GU46">
        <v>2.78179</v>
      </c>
      <c r="GV46">
        <v>9.7523200000000004E-2</v>
      </c>
      <c r="GW46">
        <v>9.6045000000000005E-2</v>
      </c>
      <c r="GX46">
        <v>9.6403199999999994E-2</v>
      </c>
      <c r="GY46">
        <v>0.101255</v>
      </c>
      <c r="GZ46">
        <v>21173.9</v>
      </c>
      <c r="HA46">
        <v>21795.5</v>
      </c>
      <c r="HB46">
        <v>24926.5</v>
      </c>
      <c r="HC46">
        <v>25527.9</v>
      </c>
      <c r="HD46">
        <v>34249.5</v>
      </c>
      <c r="HE46">
        <v>34299.300000000003</v>
      </c>
      <c r="HF46">
        <v>41679.5</v>
      </c>
      <c r="HG46">
        <v>41308.9</v>
      </c>
      <c r="HH46">
        <v>2.3967800000000001</v>
      </c>
      <c r="HI46">
        <v>2.2859799999999999</v>
      </c>
      <c r="HJ46">
        <v>0.103921</v>
      </c>
      <c r="HK46">
        <v>0</v>
      </c>
      <c r="HL46">
        <v>27.609100000000002</v>
      </c>
      <c r="HM46">
        <v>999.9</v>
      </c>
      <c r="HN46">
        <v>44.3</v>
      </c>
      <c r="HO46">
        <v>34.4</v>
      </c>
      <c r="HP46">
        <v>23.743099999999998</v>
      </c>
      <c r="HQ46">
        <v>60.793599999999998</v>
      </c>
      <c r="HR46">
        <v>9.3870199999999997</v>
      </c>
      <c r="HS46">
        <v>2</v>
      </c>
      <c r="HT46">
        <v>2.95366E-2</v>
      </c>
      <c r="HU46">
        <v>0</v>
      </c>
      <c r="HV46">
        <v>20.3263</v>
      </c>
      <c r="HW46">
        <v>5.2011200000000004</v>
      </c>
      <c r="HX46">
        <v>11.9201</v>
      </c>
      <c r="HY46">
        <v>4.99</v>
      </c>
      <c r="HZ46">
        <v>3.28146</v>
      </c>
      <c r="IA46">
        <v>9999</v>
      </c>
      <c r="IB46">
        <v>9999</v>
      </c>
      <c r="IC46">
        <v>9999</v>
      </c>
      <c r="ID46">
        <v>153.9</v>
      </c>
      <c r="IE46">
        <v>4.97262</v>
      </c>
      <c r="IF46">
        <v>1.8597300000000001</v>
      </c>
      <c r="IG46">
        <v>1.8687400000000001</v>
      </c>
      <c r="IH46">
        <v>1.86412</v>
      </c>
      <c r="II46">
        <v>1.8660099999999999</v>
      </c>
      <c r="IJ46">
        <v>1.8623400000000001</v>
      </c>
      <c r="IK46">
        <v>1.86433</v>
      </c>
      <c r="IL46">
        <v>1.8622700000000001</v>
      </c>
      <c r="IM46">
        <v>0</v>
      </c>
      <c r="IN46">
        <v>0</v>
      </c>
      <c r="IO46">
        <v>0</v>
      </c>
      <c r="IP46">
        <v>0</v>
      </c>
      <c r="IQ46" t="s">
        <v>443</v>
      </c>
      <c r="IR46" t="s">
        <v>444</v>
      </c>
      <c r="IS46" t="s">
        <v>445</v>
      </c>
      <c r="IT46" t="s">
        <v>445</v>
      </c>
      <c r="IU46" t="s">
        <v>445</v>
      </c>
      <c r="IV46" t="s">
        <v>445</v>
      </c>
      <c r="IW46">
        <v>0</v>
      </c>
      <c r="IX46">
        <v>100</v>
      </c>
      <c r="IY46">
        <v>100</v>
      </c>
      <c r="IZ46">
        <v>-2.0979999999999999</v>
      </c>
      <c r="JA46">
        <v>0.1623</v>
      </c>
      <c r="JB46">
        <v>-1.252214354925264</v>
      </c>
      <c r="JC46">
        <v>-2.4932477295996069E-3</v>
      </c>
      <c r="JD46">
        <v>1.159696634280317E-6</v>
      </c>
      <c r="JE46">
        <v>-3.5013845820821591E-10</v>
      </c>
      <c r="JF46">
        <v>-1.8539783221661419E-2</v>
      </c>
      <c r="JG46">
        <v>-7.5935071553627593E-3</v>
      </c>
      <c r="JH46">
        <v>1.367325239740887E-3</v>
      </c>
      <c r="JI46">
        <v>-2.2944115828177239E-5</v>
      </c>
      <c r="JJ46">
        <v>2</v>
      </c>
      <c r="JK46">
        <v>2118</v>
      </c>
      <c r="JL46">
        <v>1</v>
      </c>
      <c r="JM46">
        <v>27</v>
      </c>
      <c r="JN46">
        <v>216.7</v>
      </c>
      <c r="JO46">
        <v>216.7</v>
      </c>
      <c r="JP46">
        <v>1.2866200000000001</v>
      </c>
      <c r="JQ46">
        <v>2.5781200000000002</v>
      </c>
      <c r="JR46">
        <v>2.19604</v>
      </c>
      <c r="JS46">
        <v>2.6867700000000001</v>
      </c>
      <c r="JT46">
        <v>2.1496599999999999</v>
      </c>
      <c r="JU46">
        <v>2.4401899999999999</v>
      </c>
      <c r="JV46">
        <v>41.743600000000001</v>
      </c>
      <c r="JW46">
        <v>23.877400000000002</v>
      </c>
      <c r="JX46">
        <v>18</v>
      </c>
      <c r="JY46">
        <v>724.952</v>
      </c>
      <c r="JZ46">
        <v>709.63</v>
      </c>
      <c r="KA46">
        <v>29.1236</v>
      </c>
      <c r="KB46">
        <v>27.975000000000001</v>
      </c>
      <c r="KC46">
        <v>30.0002</v>
      </c>
      <c r="KD46">
        <v>27.888200000000001</v>
      </c>
      <c r="KE46">
        <v>27.855699999999999</v>
      </c>
      <c r="KF46">
        <v>25.8338</v>
      </c>
      <c r="KG46">
        <v>21.5212</v>
      </c>
      <c r="KH46">
        <v>66.488500000000002</v>
      </c>
      <c r="KI46">
        <v>-999.9</v>
      </c>
      <c r="KJ46">
        <v>400</v>
      </c>
      <c r="KK46">
        <v>20.1099</v>
      </c>
      <c r="KL46">
        <v>101.03100000000001</v>
      </c>
      <c r="KM46">
        <v>101.012</v>
      </c>
    </row>
    <row r="47" spans="1:299" x14ac:dyDescent="0.2">
      <c r="A47">
        <v>31</v>
      </c>
      <c r="B47" t="s">
        <v>538</v>
      </c>
      <c r="C47">
        <v>9</v>
      </c>
      <c r="D47">
        <v>1707856771.5999999</v>
      </c>
      <c r="E47">
        <v>2110.599999904633</v>
      </c>
      <c r="F47" t="s">
        <v>506</v>
      </c>
      <c r="G47" t="s">
        <v>507</v>
      </c>
      <c r="H47" t="s">
        <v>436</v>
      </c>
      <c r="I47" t="s">
        <v>437</v>
      </c>
      <c r="J47" t="s">
        <v>438</v>
      </c>
      <c r="M47" t="s">
        <v>438</v>
      </c>
      <c r="O47">
        <v>1707856771.5999999</v>
      </c>
      <c r="P47">
        <f t="shared" si="0"/>
        <v>1.5911542811991902E-3</v>
      </c>
      <c r="Q47">
        <f t="shared" si="1"/>
        <v>1.5911542811991903</v>
      </c>
      <c r="R47">
        <f t="shared" si="2"/>
        <v>3.5519200326026255</v>
      </c>
      <c r="S47">
        <f t="shared" si="3"/>
        <v>408.29500000000002</v>
      </c>
      <c r="T47">
        <f t="shared" si="4"/>
        <v>314.67629753609572</v>
      </c>
      <c r="U47">
        <f t="shared" si="5"/>
        <v>32.100425851405703</v>
      </c>
      <c r="V47">
        <f t="shared" si="6"/>
        <v>41.650557972184998</v>
      </c>
      <c r="W47">
        <f t="shared" si="7"/>
        <v>7.1341857775009329E-2</v>
      </c>
      <c r="X47">
        <f t="shared" si="8"/>
        <v>2.9626215258046193</v>
      </c>
      <c r="Y47">
        <f t="shared" si="9"/>
        <v>7.0401020396413758E-2</v>
      </c>
      <c r="Z47">
        <f t="shared" si="10"/>
        <v>4.4084134490362303E-2</v>
      </c>
      <c r="AA47">
        <f t="shared" si="11"/>
        <v>266.57859992462926</v>
      </c>
      <c r="AB47">
        <f t="shared" si="12"/>
        <v>30.186706787599654</v>
      </c>
      <c r="AC47">
        <f t="shared" si="13"/>
        <v>29.091100000000001</v>
      </c>
      <c r="AD47">
        <f t="shared" si="14"/>
        <v>4.043022522221472</v>
      </c>
      <c r="AE47">
        <f t="shared" si="15"/>
        <v>44.734628151157828</v>
      </c>
      <c r="AF47">
        <f t="shared" si="16"/>
        <v>1.8035126678628002</v>
      </c>
      <c r="AG47">
        <f t="shared" si="17"/>
        <v>4.0315807740007363</v>
      </c>
      <c r="AH47">
        <f t="shared" si="18"/>
        <v>2.2395098543586718</v>
      </c>
      <c r="AI47">
        <f t="shared" si="19"/>
        <v>-70.169903800884285</v>
      </c>
      <c r="AJ47">
        <f t="shared" si="20"/>
        <v>-7.8263217332596717</v>
      </c>
      <c r="AK47">
        <f t="shared" si="21"/>
        <v>-0.58197034589163166</v>
      </c>
      <c r="AL47">
        <f t="shared" si="22"/>
        <v>188.00040404459364</v>
      </c>
      <c r="AM47">
        <f t="shared" si="23"/>
        <v>-8.5732180624720158</v>
      </c>
      <c r="AN47">
        <f t="shared" si="24"/>
        <v>-2.7119145246975078</v>
      </c>
      <c r="AO47">
        <f t="shared" si="25"/>
        <v>3.5519200326026255</v>
      </c>
      <c r="AP47">
        <v>408.13243730759848</v>
      </c>
      <c r="AQ47">
        <v>416.60583030303019</v>
      </c>
      <c r="AR47">
        <v>-2.980686120302805</v>
      </c>
      <c r="AS47">
        <v>67.027437235842115</v>
      </c>
      <c r="AT47">
        <f t="shared" si="26"/>
        <v>1.5911542811991903</v>
      </c>
      <c r="AU47">
        <v>19.960075859404711</v>
      </c>
      <c r="AV47">
        <v>17.460789090909081</v>
      </c>
      <c r="AW47">
        <v>0.84238593609037304</v>
      </c>
      <c r="AX47">
        <v>78.634446732809465</v>
      </c>
      <c r="AY47">
        <v>14</v>
      </c>
      <c r="AZ47">
        <v>2</v>
      </c>
      <c r="BA47">
        <f t="shared" si="27"/>
        <v>1</v>
      </c>
      <c r="BB47">
        <f t="shared" si="28"/>
        <v>0</v>
      </c>
      <c r="BC47">
        <f t="shared" si="29"/>
        <v>53516.787368300349</v>
      </c>
      <c r="BD47" t="s">
        <v>439</v>
      </c>
      <c r="BE47" t="s">
        <v>439</v>
      </c>
      <c r="BF47">
        <v>0</v>
      </c>
      <c r="BG47">
        <v>0</v>
      </c>
      <c r="BH47" t="e">
        <f t="shared" si="30"/>
        <v>#DIV/0!</v>
      </c>
      <c r="BI47">
        <v>0</v>
      </c>
      <c r="BJ47" t="s">
        <v>439</v>
      </c>
      <c r="BK47" t="s">
        <v>439</v>
      </c>
      <c r="BL47">
        <v>0</v>
      </c>
      <c r="BM47">
        <v>0</v>
      </c>
      <c r="BN47" t="e">
        <f t="shared" si="31"/>
        <v>#DIV/0!</v>
      </c>
      <c r="BO47">
        <v>0.5</v>
      </c>
      <c r="BP47">
        <f t="shared" si="32"/>
        <v>1176.2594999623145</v>
      </c>
      <c r="BQ47">
        <f t="shared" si="33"/>
        <v>3.5519200326026255</v>
      </c>
      <c r="BR47" t="e">
        <f t="shared" si="34"/>
        <v>#DIV/0!</v>
      </c>
      <c r="BS47">
        <f t="shared" si="35"/>
        <v>3.0196738327864076E-3</v>
      </c>
      <c r="BT47" t="e">
        <f t="shared" si="36"/>
        <v>#DIV/0!</v>
      </c>
      <c r="BU47" t="e">
        <f t="shared" si="37"/>
        <v>#DIV/0!</v>
      </c>
      <c r="BV47" t="s">
        <v>439</v>
      </c>
      <c r="BW47">
        <v>0</v>
      </c>
      <c r="BX47" t="e">
        <f t="shared" si="38"/>
        <v>#DIV/0!</v>
      </c>
      <c r="BY47" t="e">
        <f t="shared" si="39"/>
        <v>#DIV/0!</v>
      </c>
      <c r="BZ47" t="e">
        <f t="shared" si="40"/>
        <v>#DIV/0!</v>
      </c>
      <c r="CA47" t="e">
        <f t="shared" si="41"/>
        <v>#DIV/0!</v>
      </c>
      <c r="CB47" t="e">
        <f t="shared" si="42"/>
        <v>#DIV/0!</v>
      </c>
      <c r="CC47" t="e">
        <f t="shared" si="43"/>
        <v>#DIV/0!</v>
      </c>
      <c r="CD47" t="e">
        <f t="shared" si="44"/>
        <v>#DIV/0!</v>
      </c>
      <c r="CE47" t="e">
        <f t="shared" si="45"/>
        <v>#DIV/0!</v>
      </c>
      <c r="DN47">
        <f t="shared" si="46"/>
        <v>1399.96</v>
      </c>
      <c r="DO47">
        <f t="shared" si="47"/>
        <v>1176.2594999623145</v>
      </c>
      <c r="DP47">
        <f t="shared" si="48"/>
        <v>0.84020936309774175</v>
      </c>
      <c r="DQ47">
        <f t="shared" si="49"/>
        <v>0.19041872619548364</v>
      </c>
      <c r="DR47">
        <v>6</v>
      </c>
      <c r="DS47">
        <v>0.5</v>
      </c>
      <c r="DT47" t="s">
        <v>440</v>
      </c>
      <c r="DU47">
        <v>2</v>
      </c>
      <c r="DV47" t="b">
        <v>1</v>
      </c>
      <c r="DW47">
        <v>1707856771.5999999</v>
      </c>
      <c r="DX47">
        <v>408.29500000000002</v>
      </c>
      <c r="DY47">
        <v>399.99599999999998</v>
      </c>
      <c r="DZ47">
        <v>17.679600000000001</v>
      </c>
      <c r="EA47">
        <v>19.9634</v>
      </c>
      <c r="EB47">
        <v>410.399</v>
      </c>
      <c r="EC47">
        <v>17.534500000000001</v>
      </c>
      <c r="ED47">
        <v>699.87800000000004</v>
      </c>
      <c r="EE47">
        <v>101.923</v>
      </c>
      <c r="EF47">
        <v>8.7942999999999993E-2</v>
      </c>
      <c r="EG47">
        <v>29.042100000000001</v>
      </c>
      <c r="EH47">
        <v>29.091100000000001</v>
      </c>
      <c r="EI47">
        <v>999.9</v>
      </c>
      <c r="EJ47">
        <v>0</v>
      </c>
      <c r="EK47">
        <v>0</v>
      </c>
      <c r="EL47">
        <v>9997.5</v>
      </c>
      <c r="EM47">
        <v>0</v>
      </c>
      <c r="EN47">
        <v>1.91117E-3</v>
      </c>
      <c r="EO47">
        <v>8.2993500000000004</v>
      </c>
      <c r="EP47">
        <v>415.64299999999997</v>
      </c>
      <c r="EQ47">
        <v>408.14400000000001</v>
      </c>
      <c r="ER47">
        <v>-2.2837900000000002</v>
      </c>
      <c r="ES47">
        <v>399.99599999999998</v>
      </c>
      <c r="ET47">
        <v>19.9634</v>
      </c>
      <c r="EU47">
        <v>1.80196</v>
      </c>
      <c r="EV47">
        <v>2.0347300000000001</v>
      </c>
      <c r="EW47">
        <v>15.803800000000001</v>
      </c>
      <c r="EX47">
        <v>17.717199999999998</v>
      </c>
      <c r="EY47">
        <v>1399.96</v>
      </c>
      <c r="EZ47">
        <v>0.99299899999999997</v>
      </c>
      <c r="FA47">
        <v>7.0013899999999997E-3</v>
      </c>
      <c r="FB47">
        <v>0</v>
      </c>
      <c r="FC47">
        <v>827.58600000000001</v>
      </c>
      <c r="FD47">
        <v>5.0001800000000003</v>
      </c>
      <c r="FE47">
        <v>12934.4</v>
      </c>
      <c r="FF47">
        <v>12009.5</v>
      </c>
      <c r="FG47">
        <v>36.75</v>
      </c>
      <c r="FH47">
        <v>38.625</v>
      </c>
      <c r="FI47">
        <v>37.625</v>
      </c>
      <c r="FJ47">
        <v>37.875</v>
      </c>
      <c r="FK47">
        <v>38.186999999999998</v>
      </c>
      <c r="FL47">
        <v>1385.19</v>
      </c>
      <c r="FM47">
        <v>9.77</v>
      </c>
      <c r="FN47">
        <v>0</v>
      </c>
      <c r="FO47">
        <v>1685751181.5999999</v>
      </c>
      <c r="FP47">
        <v>0</v>
      </c>
      <c r="FQ47">
        <v>960.56880000000001</v>
      </c>
      <c r="FR47">
        <v>-1702.306313575619</v>
      </c>
      <c r="FS47">
        <v>-258946.80794449049</v>
      </c>
      <c r="FT47">
        <v>35388.127999999997</v>
      </c>
      <c r="FU47">
        <v>15</v>
      </c>
      <c r="FV47">
        <v>1707843540</v>
      </c>
      <c r="FW47" t="s">
        <v>487</v>
      </c>
      <c r="FX47">
        <v>1707843539.5</v>
      </c>
      <c r="FY47">
        <v>1707843540</v>
      </c>
      <c r="FZ47">
        <v>1</v>
      </c>
      <c r="GA47">
        <v>-0.112</v>
      </c>
      <c r="GB47">
        <v>6.8000000000000005E-2</v>
      </c>
      <c r="GC47">
        <v>-2.09</v>
      </c>
      <c r="GD47">
        <v>0.03</v>
      </c>
      <c r="GE47">
        <v>400</v>
      </c>
      <c r="GF47">
        <v>11</v>
      </c>
      <c r="GG47">
        <v>0.28000000000000003</v>
      </c>
      <c r="GH47">
        <v>0.05</v>
      </c>
      <c r="GI47">
        <v>-22.71870854899748</v>
      </c>
      <c r="GJ47">
        <v>-24.233591802547931</v>
      </c>
      <c r="GK47">
        <v>18.665099068098399</v>
      </c>
      <c r="GL47">
        <v>0</v>
      </c>
      <c r="GM47">
        <v>-0.2610199567128012</v>
      </c>
      <c r="GN47">
        <v>-0.62400443219547375</v>
      </c>
      <c r="GO47">
        <v>0.2267672451748324</v>
      </c>
      <c r="GP47">
        <v>0</v>
      </c>
      <c r="GQ47">
        <v>0</v>
      </c>
      <c r="GR47">
        <v>2</v>
      </c>
      <c r="GS47" t="s">
        <v>442</v>
      </c>
      <c r="GT47">
        <v>3.36842</v>
      </c>
      <c r="GU47">
        <v>2.7821400000000001</v>
      </c>
      <c r="GV47">
        <v>9.8181400000000002E-2</v>
      </c>
      <c r="GW47">
        <v>9.6044099999999993E-2</v>
      </c>
      <c r="GX47">
        <v>9.2962600000000006E-2</v>
      </c>
      <c r="GY47">
        <v>0.100884</v>
      </c>
      <c r="GZ47">
        <v>21158.2</v>
      </c>
      <c r="HA47">
        <v>21798.3</v>
      </c>
      <c r="HB47">
        <v>24926.1</v>
      </c>
      <c r="HC47">
        <v>25530.799999999999</v>
      </c>
      <c r="HD47">
        <v>34380.300000000003</v>
      </c>
      <c r="HE47">
        <v>34317.4</v>
      </c>
      <c r="HF47">
        <v>41679.300000000003</v>
      </c>
      <c r="HG47">
        <v>41313.599999999999</v>
      </c>
      <c r="HH47">
        <v>2.38672</v>
      </c>
      <c r="HI47">
        <v>2.2859799999999999</v>
      </c>
      <c r="HJ47">
        <v>7.9840400000000006E-2</v>
      </c>
      <c r="HK47">
        <v>0</v>
      </c>
      <c r="HL47">
        <v>27.788599999999999</v>
      </c>
      <c r="HM47">
        <v>999.9</v>
      </c>
      <c r="HN47">
        <v>44.2</v>
      </c>
      <c r="HO47">
        <v>34.5</v>
      </c>
      <c r="HP47">
        <v>23.826499999999999</v>
      </c>
      <c r="HQ47">
        <v>60.643700000000003</v>
      </c>
      <c r="HR47">
        <v>9.5593000000000004</v>
      </c>
      <c r="HS47">
        <v>2</v>
      </c>
      <c r="HT47">
        <v>2.6699199999999999E-2</v>
      </c>
      <c r="HU47">
        <v>0</v>
      </c>
      <c r="HV47">
        <v>20.327000000000002</v>
      </c>
      <c r="HW47">
        <v>5.2019599999999997</v>
      </c>
      <c r="HX47">
        <v>11.9201</v>
      </c>
      <c r="HY47">
        <v>4.9893200000000002</v>
      </c>
      <c r="HZ47">
        <v>3.2814000000000001</v>
      </c>
      <c r="IA47">
        <v>9999</v>
      </c>
      <c r="IB47">
        <v>9999</v>
      </c>
      <c r="IC47">
        <v>9999</v>
      </c>
      <c r="ID47">
        <v>154</v>
      </c>
      <c r="IE47">
        <v>4.9726400000000002</v>
      </c>
      <c r="IF47">
        <v>1.85961</v>
      </c>
      <c r="IG47">
        <v>1.8687</v>
      </c>
      <c r="IH47">
        <v>1.8640399999999999</v>
      </c>
      <c r="II47">
        <v>1.8660000000000001</v>
      </c>
      <c r="IJ47">
        <v>1.86233</v>
      </c>
      <c r="IK47">
        <v>1.86432</v>
      </c>
      <c r="IL47">
        <v>1.86219</v>
      </c>
      <c r="IM47">
        <v>0</v>
      </c>
      <c r="IN47">
        <v>0</v>
      </c>
      <c r="IO47">
        <v>0</v>
      </c>
      <c r="IP47">
        <v>0</v>
      </c>
      <c r="IQ47" t="s">
        <v>443</v>
      </c>
      <c r="IR47" t="s">
        <v>444</v>
      </c>
      <c r="IS47" t="s">
        <v>445</v>
      </c>
      <c r="IT47" t="s">
        <v>445</v>
      </c>
      <c r="IU47" t="s">
        <v>445</v>
      </c>
      <c r="IV47" t="s">
        <v>445</v>
      </c>
      <c r="IW47">
        <v>0</v>
      </c>
      <c r="IX47">
        <v>100</v>
      </c>
      <c r="IY47">
        <v>100</v>
      </c>
      <c r="IZ47">
        <v>-2.1040000000000001</v>
      </c>
      <c r="JA47">
        <v>0.14510000000000001</v>
      </c>
      <c r="JB47">
        <v>-1.252214354925264</v>
      </c>
      <c r="JC47">
        <v>-2.4932477295996069E-3</v>
      </c>
      <c r="JD47">
        <v>1.159696634280317E-6</v>
      </c>
      <c r="JE47">
        <v>-3.5013845820821591E-10</v>
      </c>
      <c r="JF47">
        <v>-1.8539783221661419E-2</v>
      </c>
      <c r="JG47">
        <v>-7.5935071553627593E-3</v>
      </c>
      <c r="JH47">
        <v>1.367325239740887E-3</v>
      </c>
      <c r="JI47">
        <v>-2.2944115828177239E-5</v>
      </c>
      <c r="JJ47">
        <v>2</v>
      </c>
      <c r="JK47">
        <v>2118</v>
      </c>
      <c r="JL47">
        <v>1</v>
      </c>
      <c r="JM47">
        <v>27</v>
      </c>
      <c r="JN47">
        <v>220.5</v>
      </c>
      <c r="JO47">
        <v>220.5</v>
      </c>
      <c r="JP47">
        <v>1.2890600000000001</v>
      </c>
      <c r="JQ47">
        <v>2.5744600000000002</v>
      </c>
      <c r="JR47">
        <v>2.19604</v>
      </c>
      <c r="JS47">
        <v>2.6892100000000001</v>
      </c>
      <c r="JT47">
        <v>2.1496599999999999</v>
      </c>
      <c r="JU47">
        <v>2.4877899999999999</v>
      </c>
      <c r="JV47">
        <v>41.196399999999997</v>
      </c>
      <c r="JW47">
        <v>23.886099999999999</v>
      </c>
      <c r="JX47">
        <v>18</v>
      </c>
      <c r="JY47">
        <v>716.72500000000002</v>
      </c>
      <c r="JZ47">
        <v>709.21</v>
      </c>
      <c r="KA47">
        <v>28.978899999999999</v>
      </c>
      <c r="KB47">
        <v>27.8996</v>
      </c>
      <c r="KC47">
        <v>29.999600000000001</v>
      </c>
      <c r="KD47">
        <v>27.867100000000001</v>
      </c>
      <c r="KE47">
        <v>27.821100000000001</v>
      </c>
      <c r="KF47">
        <v>25.864599999999999</v>
      </c>
      <c r="KG47">
        <v>22.711400000000001</v>
      </c>
      <c r="KH47">
        <v>66.860900000000001</v>
      </c>
      <c r="KI47">
        <v>-999.9</v>
      </c>
      <c r="KJ47">
        <v>400</v>
      </c>
      <c r="KK47">
        <v>19.964700000000001</v>
      </c>
      <c r="KL47">
        <v>101.03</v>
      </c>
      <c r="KM47">
        <v>101.023</v>
      </c>
    </row>
    <row r="48" spans="1:299" x14ac:dyDescent="0.2">
      <c r="A48">
        <v>32</v>
      </c>
      <c r="B48" t="s">
        <v>538</v>
      </c>
      <c r="C48">
        <v>10</v>
      </c>
      <c r="D48">
        <v>1707857258.0999999</v>
      </c>
      <c r="E48">
        <v>2597.099999904633</v>
      </c>
      <c r="F48" t="s">
        <v>508</v>
      </c>
      <c r="G48" t="s">
        <v>509</v>
      </c>
      <c r="H48" t="s">
        <v>436</v>
      </c>
      <c r="I48" t="s">
        <v>437</v>
      </c>
      <c r="J48" t="s">
        <v>438</v>
      </c>
      <c r="M48" t="s">
        <v>438</v>
      </c>
      <c r="O48">
        <v>1707857258.0999999</v>
      </c>
      <c r="P48">
        <f t="shared" si="0"/>
        <v>4.0465953987646951E-4</v>
      </c>
      <c r="Q48">
        <f t="shared" si="1"/>
        <v>0.40465953987646952</v>
      </c>
      <c r="R48">
        <f t="shared" si="2"/>
        <v>7.9880400096894322</v>
      </c>
      <c r="S48">
        <f t="shared" si="3"/>
        <v>424.33300000000003</v>
      </c>
      <c r="T48">
        <f t="shared" si="4"/>
        <v>-225.88904179824388</v>
      </c>
      <c r="U48">
        <f t="shared" si="5"/>
        <v>-23.038271665922423</v>
      </c>
      <c r="V48">
        <f t="shared" si="6"/>
        <v>43.27743768795721</v>
      </c>
      <c r="W48">
        <f t="shared" si="7"/>
        <v>1.9817834554639722E-2</v>
      </c>
      <c r="X48">
        <f t="shared" si="8"/>
        <v>2.9609150006935754</v>
      </c>
      <c r="Y48">
        <f t="shared" si="9"/>
        <v>1.9744438331866784E-2</v>
      </c>
      <c r="Z48">
        <f t="shared" si="10"/>
        <v>1.2346845560472521E-2</v>
      </c>
      <c r="AA48">
        <f t="shared" si="11"/>
        <v>266.58239992463041</v>
      </c>
      <c r="AB48">
        <f t="shared" si="12"/>
        <v>29.253469340143234</v>
      </c>
      <c r="AC48">
        <f t="shared" si="13"/>
        <v>27.575800000000001</v>
      </c>
      <c r="AD48">
        <f t="shared" si="14"/>
        <v>3.7020017932500253</v>
      </c>
      <c r="AE48">
        <f t="shared" si="15"/>
        <v>44.432316981690789</v>
      </c>
      <c r="AF48">
        <f t="shared" si="16"/>
        <v>1.6667605993770003</v>
      </c>
      <c r="AG48">
        <f t="shared" si="17"/>
        <v>3.751234940243656</v>
      </c>
      <c r="AH48">
        <f t="shared" si="18"/>
        <v>2.0352411938730253</v>
      </c>
      <c r="AI48">
        <f t="shared" si="19"/>
        <v>-17.845485708552307</v>
      </c>
      <c r="AJ48">
        <f t="shared" si="20"/>
        <v>36.092082875882156</v>
      </c>
      <c r="AK48">
        <f t="shared" si="21"/>
        <v>2.648800484639831</v>
      </c>
      <c r="AL48">
        <f t="shared" si="22"/>
        <v>287.4777975766001</v>
      </c>
      <c r="AM48">
        <f t="shared" si="23"/>
        <v>-27.116090400998999</v>
      </c>
      <c r="AN48">
        <f t="shared" si="24"/>
        <v>-2.9759267422858042</v>
      </c>
      <c r="AO48">
        <f t="shared" si="25"/>
        <v>7.9880400096894322</v>
      </c>
      <c r="AP48">
        <v>407.64421773449999</v>
      </c>
      <c r="AQ48">
        <v>433.45923030303021</v>
      </c>
      <c r="AR48">
        <v>-8.403016537083893</v>
      </c>
      <c r="AS48">
        <v>67.028437850629004</v>
      </c>
      <c r="AT48">
        <f t="shared" si="26"/>
        <v>0.40465953987646952</v>
      </c>
      <c r="AU48">
        <v>18.854006160097171</v>
      </c>
      <c r="AV48">
        <v>16.12274363636363</v>
      </c>
      <c r="AW48">
        <v>0.67109291716769637</v>
      </c>
      <c r="AX48">
        <v>78.628600672455306</v>
      </c>
      <c r="AY48">
        <v>72</v>
      </c>
      <c r="AZ48">
        <v>10</v>
      </c>
      <c r="BA48">
        <f t="shared" si="27"/>
        <v>1</v>
      </c>
      <c r="BB48">
        <f t="shared" si="28"/>
        <v>0</v>
      </c>
      <c r="BC48">
        <f t="shared" si="29"/>
        <v>53687.229299239087</v>
      </c>
      <c r="BD48" t="s">
        <v>439</v>
      </c>
      <c r="BE48" t="s">
        <v>439</v>
      </c>
      <c r="BF48">
        <v>0</v>
      </c>
      <c r="BG48">
        <v>0</v>
      </c>
      <c r="BH48" t="e">
        <f t="shared" si="30"/>
        <v>#DIV/0!</v>
      </c>
      <c r="BI48">
        <v>0</v>
      </c>
      <c r="BJ48" t="s">
        <v>439</v>
      </c>
      <c r="BK48" t="s">
        <v>439</v>
      </c>
      <c r="BL48">
        <v>0</v>
      </c>
      <c r="BM48">
        <v>0</v>
      </c>
      <c r="BN48" t="e">
        <f t="shared" si="31"/>
        <v>#DIV/0!</v>
      </c>
      <c r="BO48">
        <v>0.5</v>
      </c>
      <c r="BP48">
        <f t="shared" si="32"/>
        <v>1176.2762999623151</v>
      </c>
      <c r="BQ48">
        <f t="shared" si="33"/>
        <v>7.9880400096894322</v>
      </c>
      <c r="BR48" t="e">
        <f t="shared" si="34"/>
        <v>#DIV/0!</v>
      </c>
      <c r="BS48">
        <f t="shared" si="35"/>
        <v>6.7909555007997259E-3</v>
      </c>
      <c r="BT48" t="e">
        <f t="shared" si="36"/>
        <v>#DIV/0!</v>
      </c>
      <c r="BU48" t="e">
        <f t="shared" si="37"/>
        <v>#DIV/0!</v>
      </c>
      <c r="BV48" t="s">
        <v>439</v>
      </c>
      <c r="BW48">
        <v>0</v>
      </c>
      <c r="BX48" t="e">
        <f t="shared" si="38"/>
        <v>#DIV/0!</v>
      </c>
      <c r="BY48" t="e">
        <f t="shared" si="39"/>
        <v>#DIV/0!</v>
      </c>
      <c r="BZ48" t="e">
        <f t="shared" si="40"/>
        <v>#DIV/0!</v>
      </c>
      <c r="CA48" t="e">
        <f t="shared" si="41"/>
        <v>#DIV/0!</v>
      </c>
      <c r="CB48" t="e">
        <f t="shared" si="42"/>
        <v>#DIV/0!</v>
      </c>
      <c r="CC48" t="e">
        <f t="shared" si="43"/>
        <v>#DIV/0!</v>
      </c>
      <c r="CD48" t="e">
        <f t="shared" si="44"/>
        <v>#DIV/0!</v>
      </c>
      <c r="CE48" t="e">
        <f t="shared" si="45"/>
        <v>#DIV/0!</v>
      </c>
      <c r="DN48">
        <f t="shared" si="46"/>
        <v>1399.98</v>
      </c>
      <c r="DO48">
        <f t="shared" si="47"/>
        <v>1176.2762999623151</v>
      </c>
      <c r="DP48">
        <f t="shared" si="48"/>
        <v>0.84020936010679803</v>
      </c>
      <c r="DQ48">
        <f t="shared" si="49"/>
        <v>0.19041872021359618</v>
      </c>
      <c r="DR48">
        <v>6</v>
      </c>
      <c r="DS48">
        <v>0.5</v>
      </c>
      <c r="DT48" t="s">
        <v>440</v>
      </c>
      <c r="DU48">
        <v>2</v>
      </c>
      <c r="DV48" t="b">
        <v>1</v>
      </c>
      <c r="DW48">
        <v>1707857258.0999999</v>
      </c>
      <c r="DX48">
        <v>424.33300000000003</v>
      </c>
      <c r="DY48">
        <v>399.98700000000002</v>
      </c>
      <c r="DZ48">
        <v>16.342500000000001</v>
      </c>
      <c r="EA48">
        <v>18.8538</v>
      </c>
      <c r="EB48">
        <v>426.46499999999997</v>
      </c>
      <c r="EC48">
        <v>16.222300000000001</v>
      </c>
      <c r="ED48">
        <v>699.38900000000001</v>
      </c>
      <c r="EE48">
        <v>101.90600000000001</v>
      </c>
      <c r="EF48">
        <v>8.3328399999999997E-2</v>
      </c>
      <c r="EG48">
        <v>27.8019</v>
      </c>
      <c r="EH48">
        <v>27.575800000000001</v>
      </c>
      <c r="EI48">
        <v>999.9</v>
      </c>
      <c r="EJ48">
        <v>0</v>
      </c>
      <c r="EK48">
        <v>0</v>
      </c>
      <c r="EL48">
        <v>9989.5</v>
      </c>
      <c r="EM48">
        <v>0</v>
      </c>
      <c r="EN48">
        <v>1.91117E-3</v>
      </c>
      <c r="EO48">
        <v>24.345600000000001</v>
      </c>
      <c r="EP48">
        <v>431.38299999999998</v>
      </c>
      <c r="EQ48">
        <v>407.67399999999998</v>
      </c>
      <c r="ER48">
        <v>-2.5113400000000001</v>
      </c>
      <c r="ES48">
        <v>399.98700000000002</v>
      </c>
      <c r="ET48">
        <v>18.8538</v>
      </c>
      <c r="EU48">
        <v>1.6653899999999999</v>
      </c>
      <c r="EV48">
        <v>1.9213100000000001</v>
      </c>
      <c r="EW48">
        <v>14.577500000000001</v>
      </c>
      <c r="EX48">
        <v>16.810300000000002</v>
      </c>
      <c r="EY48">
        <v>1399.98</v>
      </c>
      <c r="EZ48">
        <v>0.99299899999999997</v>
      </c>
      <c r="FA48">
        <v>7.0014400000000003E-3</v>
      </c>
      <c r="FB48">
        <v>0</v>
      </c>
      <c r="FC48">
        <v>609.93299999999999</v>
      </c>
      <c r="FD48">
        <v>5.0001800000000003</v>
      </c>
      <c r="FE48">
        <v>9991.1</v>
      </c>
      <c r="FF48">
        <v>12009.6</v>
      </c>
      <c r="FG48">
        <v>37.436999999999998</v>
      </c>
      <c r="FH48">
        <v>38.561999999999998</v>
      </c>
      <c r="FI48">
        <v>38.311999999999998</v>
      </c>
      <c r="FJ48">
        <v>37.436999999999998</v>
      </c>
      <c r="FK48">
        <v>38.561999999999998</v>
      </c>
      <c r="FL48">
        <v>1385.21</v>
      </c>
      <c r="FM48">
        <v>9.77</v>
      </c>
      <c r="FN48">
        <v>0</v>
      </c>
      <c r="FO48">
        <v>1685751668.2</v>
      </c>
      <c r="FP48">
        <v>0</v>
      </c>
      <c r="FQ48">
        <v>510.22072692307688</v>
      </c>
      <c r="FR48">
        <v>2363.706706297929</v>
      </c>
      <c r="FS48">
        <v>-418728.80594389403</v>
      </c>
      <c r="FT48">
        <v>47284.077307692307</v>
      </c>
      <c r="FU48">
        <v>15</v>
      </c>
      <c r="FV48">
        <v>1707843540</v>
      </c>
      <c r="FW48" t="s">
        <v>487</v>
      </c>
      <c r="FX48">
        <v>1707843539.5</v>
      </c>
      <c r="FY48">
        <v>1707843540</v>
      </c>
      <c r="FZ48">
        <v>1</v>
      </c>
      <c r="GA48">
        <v>-0.112</v>
      </c>
      <c r="GB48">
        <v>6.8000000000000005E-2</v>
      </c>
      <c r="GC48">
        <v>-2.09</v>
      </c>
      <c r="GD48">
        <v>0.03</v>
      </c>
      <c r="GE48">
        <v>400</v>
      </c>
      <c r="GF48">
        <v>11</v>
      </c>
      <c r="GG48">
        <v>0.28000000000000003</v>
      </c>
      <c r="GH48">
        <v>0.05</v>
      </c>
      <c r="GI48">
        <v>-106.2194380404529</v>
      </c>
      <c r="GJ48">
        <v>517.35656227649963</v>
      </c>
      <c r="GK48">
        <v>207.50058308279841</v>
      </c>
      <c r="GL48">
        <v>0</v>
      </c>
      <c r="GM48">
        <v>-0.25590297857817829</v>
      </c>
      <c r="GN48">
        <v>-0.59673674806007271</v>
      </c>
      <c r="GO48">
        <v>0.19254355009991109</v>
      </c>
      <c r="GP48">
        <v>0</v>
      </c>
      <c r="GQ48">
        <v>0</v>
      </c>
      <c r="GR48">
        <v>2</v>
      </c>
      <c r="GS48" t="s">
        <v>442</v>
      </c>
      <c r="GT48">
        <v>3.3675000000000002</v>
      </c>
      <c r="GU48">
        <v>2.77745</v>
      </c>
      <c r="GV48">
        <v>0.101324</v>
      </c>
      <c r="GW48">
        <v>9.6263699999999994E-2</v>
      </c>
      <c r="GX48">
        <v>8.8025599999999996E-2</v>
      </c>
      <c r="GY48">
        <v>9.7065100000000001E-2</v>
      </c>
      <c r="GZ48">
        <v>21130.2</v>
      </c>
      <c r="HA48">
        <v>21847.5</v>
      </c>
      <c r="HB48">
        <v>24974.6</v>
      </c>
      <c r="HC48">
        <v>25588.799999999999</v>
      </c>
      <c r="HD48">
        <v>34638.5</v>
      </c>
      <c r="HE48">
        <v>34536.5</v>
      </c>
      <c r="HF48">
        <v>41766.5</v>
      </c>
      <c r="HG48">
        <v>41401.9</v>
      </c>
      <c r="HH48">
        <v>2.3084199999999999</v>
      </c>
      <c r="HI48">
        <v>2.3059400000000001</v>
      </c>
      <c r="HJ48">
        <v>4.47631E-2</v>
      </c>
      <c r="HK48">
        <v>0</v>
      </c>
      <c r="HL48">
        <v>26.844000000000001</v>
      </c>
      <c r="HM48">
        <v>999.9</v>
      </c>
      <c r="HN48">
        <v>45.1</v>
      </c>
      <c r="HO48">
        <v>34</v>
      </c>
      <c r="HP48">
        <v>23.6463</v>
      </c>
      <c r="HQ48">
        <v>60.873699999999999</v>
      </c>
      <c r="HR48">
        <v>9.6915099999999992</v>
      </c>
      <c r="HS48">
        <v>2</v>
      </c>
      <c r="HT48">
        <v>-6.3239799999999999E-2</v>
      </c>
      <c r="HU48">
        <v>0</v>
      </c>
      <c r="HV48">
        <v>20.366299999999999</v>
      </c>
      <c r="HW48">
        <v>5.2020799999999996</v>
      </c>
      <c r="HX48">
        <v>11.9201</v>
      </c>
      <c r="HY48">
        <v>4.9904000000000002</v>
      </c>
      <c r="HZ48">
        <v>3.2814000000000001</v>
      </c>
      <c r="IA48">
        <v>9999</v>
      </c>
      <c r="IB48">
        <v>9999</v>
      </c>
      <c r="IC48">
        <v>9999</v>
      </c>
      <c r="ID48">
        <v>154.1</v>
      </c>
      <c r="IE48">
        <v>4.9720599999999999</v>
      </c>
      <c r="IF48">
        <v>1.8591299999999999</v>
      </c>
      <c r="IG48">
        <v>1.86816</v>
      </c>
      <c r="IH48">
        <v>1.8635600000000001</v>
      </c>
      <c r="II48">
        <v>1.86554</v>
      </c>
      <c r="IJ48">
        <v>1.86185</v>
      </c>
      <c r="IK48">
        <v>1.8638600000000001</v>
      </c>
      <c r="IL48">
        <v>1.86172</v>
      </c>
      <c r="IM48">
        <v>0</v>
      </c>
      <c r="IN48">
        <v>0</v>
      </c>
      <c r="IO48">
        <v>0</v>
      </c>
      <c r="IP48">
        <v>0</v>
      </c>
      <c r="IQ48" t="s">
        <v>443</v>
      </c>
      <c r="IR48" t="s">
        <v>444</v>
      </c>
      <c r="IS48" t="s">
        <v>445</v>
      </c>
      <c r="IT48" t="s">
        <v>445</v>
      </c>
      <c r="IU48" t="s">
        <v>445</v>
      </c>
      <c r="IV48" t="s">
        <v>445</v>
      </c>
      <c r="IW48">
        <v>0</v>
      </c>
      <c r="IX48">
        <v>100</v>
      </c>
      <c r="IY48">
        <v>100</v>
      </c>
      <c r="IZ48">
        <v>-2.1320000000000001</v>
      </c>
      <c r="JA48">
        <v>0.1202</v>
      </c>
      <c r="JB48">
        <v>-1.252214354925264</v>
      </c>
      <c r="JC48">
        <v>-2.4932477295996069E-3</v>
      </c>
      <c r="JD48">
        <v>1.159696634280317E-6</v>
      </c>
      <c r="JE48">
        <v>-3.5013845820821591E-10</v>
      </c>
      <c r="JF48">
        <v>-1.8539783221661419E-2</v>
      </c>
      <c r="JG48">
        <v>-7.5935071553627593E-3</v>
      </c>
      <c r="JH48">
        <v>1.367325239740887E-3</v>
      </c>
      <c r="JI48">
        <v>-2.2944115828177239E-5</v>
      </c>
      <c r="JJ48">
        <v>2</v>
      </c>
      <c r="JK48">
        <v>2118</v>
      </c>
      <c r="JL48">
        <v>1</v>
      </c>
      <c r="JM48">
        <v>27</v>
      </c>
      <c r="JN48">
        <v>228.6</v>
      </c>
      <c r="JO48">
        <v>228.6</v>
      </c>
      <c r="JP48">
        <v>1.2902800000000001</v>
      </c>
      <c r="JQ48">
        <v>2.5756800000000002</v>
      </c>
      <c r="JR48">
        <v>2.19604</v>
      </c>
      <c r="JS48">
        <v>2.68066</v>
      </c>
      <c r="JT48">
        <v>2.1496599999999999</v>
      </c>
      <c r="JU48">
        <v>2.4645999999999999</v>
      </c>
      <c r="JV48">
        <v>39.4666</v>
      </c>
      <c r="JW48">
        <v>14.009499999999999</v>
      </c>
      <c r="JX48">
        <v>18</v>
      </c>
      <c r="JY48">
        <v>645.49</v>
      </c>
      <c r="JZ48">
        <v>713.86500000000001</v>
      </c>
      <c r="KA48">
        <v>27.710799999999999</v>
      </c>
      <c r="KB48">
        <v>26.722899999999999</v>
      </c>
      <c r="KC48">
        <v>29.999600000000001</v>
      </c>
      <c r="KD48">
        <v>26.796500000000002</v>
      </c>
      <c r="KE48">
        <v>26.812899999999999</v>
      </c>
      <c r="KF48">
        <v>25.899899999999999</v>
      </c>
      <c r="KG48">
        <v>27.007100000000001</v>
      </c>
      <c r="KH48">
        <v>65.373900000000006</v>
      </c>
      <c r="KI48">
        <v>-999.9</v>
      </c>
      <c r="KJ48">
        <v>400</v>
      </c>
      <c r="KK48">
        <v>18.837199999999999</v>
      </c>
      <c r="KL48">
        <v>101.236</v>
      </c>
      <c r="KM48">
        <v>101.244</v>
      </c>
    </row>
    <row r="49" spans="1:299" x14ac:dyDescent="0.2">
      <c r="A49">
        <v>33</v>
      </c>
      <c r="B49" t="s">
        <v>538</v>
      </c>
      <c r="C49">
        <v>11</v>
      </c>
      <c r="D49">
        <v>1707858260.5</v>
      </c>
      <c r="E49">
        <v>3599.5</v>
      </c>
      <c r="F49" t="s">
        <v>510</v>
      </c>
      <c r="G49" t="s">
        <v>511</v>
      </c>
      <c r="H49" t="s">
        <v>436</v>
      </c>
      <c r="I49" t="s">
        <v>437</v>
      </c>
      <c r="J49" t="s">
        <v>438</v>
      </c>
      <c r="M49" t="s">
        <v>438</v>
      </c>
      <c r="O49">
        <v>1707858260.5</v>
      </c>
      <c r="P49">
        <f t="shared" si="0"/>
        <v>8.1536054005772933E-4</v>
      </c>
      <c r="Q49">
        <f t="shared" si="1"/>
        <v>0.81536054005772929</v>
      </c>
      <c r="R49">
        <f t="shared" si="2"/>
        <v>6.6379401110627949</v>
      </c>
      <c r="S49">
        <f t="shared" si="3"/>
        <v>394.13</v>
      </c>
      <c r="T49">
        <f t="shared" si="4"/>
        <v>134.1011962652741</v>
      </c>
      <c r="U49">
        <f t="shared" si="5"/>
        <v>13.67126203360854</v>
      </c>
      <c r="V49">
        <f t="shared" si="6"/>
        <v>40.180510356128998</v>
      </c>
      <c r="W49">
        <f t="shared" si="7"/>
        <v>4.2456567747944006E-2</v>
      </c>
      <c r="X49">
        <f t="shared" si="8"/>
        <v>2.9643289859970192</v>
      </c>
      <c r="Y49">
        <f t="shared" si="9"/>
        <v>4.2121620620126358E-2</v>
      </c>
      <c r="Z49">
        <f t="shared" si="10"/>
        <v>2.6355886153233338E-2</v>
      </c>
      <c r="AA49">
        <f t="shared" si="11"/>
        <v>266.608399924715</v>
      </c>
      <c r="AB49">
        <f t="shared" si="12"/>
        <v>29.058960340617542</v>
      </c>
      <c r="AC49">
        <f t="shared" si="13"/>
        <v>28.020900000000001</v>
      </c>
      <c r="AD49">
        <f t="shared" si="14"/>
        <v>3.7994657636279698</v>
      </c>
      <c r="AE49">
        <f t="shared" si="15"/>
        <v>50.401224321557038</v>
      </c>
      <c r="AF49">
        <f t="shared" si="16"/>
        <v>1.8810204210029702</v>
      </c>
      <c r="AG49">
        <f t="shared" si="17"/>
        <v>3.7320927146574125</v>
      </c>
      <c r="AH49">
        <f t="shared" si="18"/>
        <v>1.9184453426249997</v>
      </c>
      <c r="AI49">
        <f t="shared" si="19"/>
        <v>-35.957399816545866</v>
      </c>
      <c r="AJ49">
        <f t="shared" si="20"/>
        <v>-48.998636456255589</v>
      </c>
      <c r="AK49">
        <f t="shared" si="21"/>
        <v>-3.5982818612042631</v>
      </c>
      <c r="AL49">
        <f t="shared" si="22"/>
        <v>178.05408179070929</v>
      </c>
      <c r="AM49">
        <f t="shared" si="23"/>
        <v>6.6235806431409818</v>
      </c>
      <c r="AN49">
        <f t="shared" si="24"/>
        <v>0.79369107957343477</v>
      </c>
      <c r="AO49">
        <f t="shared" si="25"/>
        <v>6.6379401110627949</v>
      </c>
      <c r="AP49">
        <v>407.29762451372449</v>
      </c>
      <c r="AQ49">
        <v>401.5431575757575</v>
      </c>
      <c r="AR49">
        <v>-9.6773226527422009E-3</v>
      </c>
      <c r="AS49">
        <v>67.025137791959779</v>
      </c>
      <c r="AT49">
        <f t="shared" si="26"/>
        <v>0.81536054005772929</v>
      </c>
      <c r="AU49">
        <v>17.804329810665099</v>
      </c>
      <c r="AV49">
        <v>18.448858787878791</v>
      </c>
      <c r="AW49">
        <v>9.0100309688958269E-3</v>
      </c>
      <c r="AX49">
        <v>78.981491259380817</v>
      </c>
      <c r="AY49">
        <v>360</v>
      </c>
      <c r="AZ49">
        <v>51</v>
      </c>
      <c r="BA49">
        <f t="shared" si="27"/>
        <v>1</v>
      </c>
      <c r="BB49">
        <f t="shared" si="28"/>
        <v>0</v>
      </c>
      <c r="BC49">
        <f t="shared" si="29"/>
        <v>53802.040051811338</v>
      </c>
      <c r="BD49" t="s">
        <v>439</v>
      </c>
      <c r="BE49" t="s">
        <v>439</v>
      </c>
      <c r="BF49">
        <v>0</v>
      </c>
      <c r="BG49">
        <v>0</v>
      </c>
      <c r="BH49" t="e">
        <f t="shared" si="30"/>
        <v>#DIV/0!</v>
      </c>
      <c r="BI49">
        <v>0</v>
      </c>
      <c r="BJ49" t="s">
        <v>439</v>
      </c>
      <c r="BK49" t="s">
        <v>439</v>
      </c>
      <c r="BL49">
        <v>0</v>
      </c>
      <c r="BM49">
        <v>0</v>
      </c>
      <c r="BN49" t="e">
        <f t="shared" si="31"/>
        <v>#DIV/0!</v>
      </c>
      <c r="BO49">
        <v>0.5</v>
      </c>
      <c r="BP49">
        <f t="shared" si="32"/>
        <v>1176.3935999623573</v>
      </c>
      <c r="BQ49">
        <f t="shared" si="33"/>
        <v>6.6379401110627949</v>
      </c>
      <c r="BR49" t="e">
        <f t="shared" si="34"/>
        <v>#DIV/0!</v>
      </c>
      <c r="BS49">
        <f t="shared" si="35"/>
        <v>5.6426183475285809E-3</v>
      </c>
      <c r="BT49" t="e">
        <f t="shared" si="36"/>
        <v>#DIV/0!</v>
      </c>
      <c r="BU49" t="e">
        <f t="shared" si="37"/>
        <v>#DIV/0!</v>
      </c>
      <c r="BV49" t="s">
        <v>439</v>
      </c>
      <c r="BW49">
        <v>0</v>
      </c>
      <c r="BX49" t="e">
        <f t="shared" si="38"/>
        <v>#DIV/0!</v>
      </c>
      <c r="BY49" t="e">
        <f t="shared" si="39"/>
        <v>#DIV/0!</v>
      </c>
      <c r="BZ49" t="e">
        <f t="shared" si="40"/>
        <v>#DIV/0!</v>
      </c>
      <c r="CA49" t="e">
        <f t="shared" si="41"/>
        <v>#DIV/0!</v>
      </c>
      <c r="CB49" t="e">
        <f t="shared" si="42"/>
        <v>#DIV/0!</v>
      </c>
      <c r="CC49" t="e">
        <f t="shared" si="43"/>
        <v>#DIV/0!</v>
      </c>
      <c r="CD49" t="e">
        <f t="shared" si="44"/>
        <v>#DIV/0!</v>
      </c>
      <c r="CE49" t="e">
        <f t="shared" si="45"/>
        <v>#DIV/0!</v>
      </c>
      <c r="DN49">
        <f t="shared" si="46"/>
        <v>1400.12</v>
      </c>
      <c r="DO49">
        <f t="shared" si="47"/>
        <v>1176.3935999623573</v>
      </c>
      <c r="DP49">
        <f t="shared" si="48"/>
        <v>0.84020912490526345</v>
      </c>
      <c r="DQ49">
        <f t="shared" si="49"/>
        <v>0.19041824981052699</v>
      </c>
      <c r="DR49">
        <v>6</v>
      </c>
      <c r="DS49">
        <v>0.5</v>
      </c>
      <c r="DT49" t="s">
        <v>440</v>
      </c>
      <c r="DU49">
        <v>2</v>
      </c>
      <c r="DV49" t="b">
        <v>1</v>
      </c>
      <c r="DW49">
        <v>1707858260.5</v>
      </c>
      <c r="DX49">
        <v>394.13</v>
      </c>
      <c r="DY49">
        <v>400.07499999999999</v>
      </c>
      <c r="DZ49">
        <v>18.450900000000001</v>
      </c>
      <c r="EA49">
        <v>17.783200000000001</v>
      </c>
      <c r="EB49">
        <v>396.21</v>
      </c>
      <c r="EC49">
        <v>18.2913</v>
      </c>
      <c r="ED49">
        <v>700.05700000000002</v>
      </c>
      <c r="EE49">
        <v>101.879</v>
      </c>
      <c r="EF49">
        <v>6.8353300000000006E-2</v>
      </c>
      <c r="EG49">
        <v>27.714300000000001</v>
      </c>
      <c r="EH49">
        <v>28.020900000000001</v>
      </c>
      <c r="EI49">
        <v>999.9</v>
      </c>
      <c r="EJ49">
        <v>0</v>
      </c>
      <c r="EK49">
        <v>0</v>
      </c>
      <c r="EL49">
        <v>10011.5</v>
      </c>
      <c r="EM49">
        <v>0</v>
      </c>
      <c r="EN49">
        <v>1.91117E-3</v>
      </c>
      <c r="EO49">
        <v>-5.94489</v>
      </c>
      <c r="EP49">
        <v>401.53899999999999</v>
      </c>
      <c r="EQ49">
        <v>407.31799999999998</v>
      </c>
      <c r="ER49">
        <v>0.66770700000000005</v>
      </c>
      <c r="ES49">
        <v>400.07499999999999</v>
      </c>
      <c r="ET49">
        <v>17.783200000000001</v>
      </c>
      <c r="EU49">
        <v>1.8797600000000001</v>
      </c>
      <c r="EV49">
        <v>1.8117399999999999</v>
      </c>
      <c r="EW49">
        <v>16.4663</v>
      </c>
      <c r="EX49">
        <v>15.888400000000001</v>
      </c>
      <c r="EY49">
        <v>1400.12</v>
      </c>
      <c r="EZ49">
        <v>0.99300200000000005</v>
      </c>
      <c r="FA49">
        <v>6.9984799999999996E-3</v>
      </c>
      <c r="FB49">
        <v>0</v>
      </c>
      <c r="FC49">
        <v>468.84100000000001</v>
      </c>
      <c r="FD49">
        <v>5.0001800000000003</v>
      </c>
      <c r="FE49">
        <v>8620.1</v>
      </c>
      <c r="FF49">
        <v>12010.8</v>
      </c>
      <c r="FG49">
        <v>38</v>
      </c>
      <c r="FH49">
        <v>39.811999999999998</v>
      </c>
      <c r="FI49">
        <v>38.875</v>
      </c>
      <c r="FJ49">
        <v>39</v>
      </c>
      <c r="FK49">
        <v>39.125</v>
      </c>
      <c r="FL49">
        <v>1385.36</v>
      </c>
      <c r="FM49">
        <v>9.76</v>
      </c>
      <c r="FN49">
        <v>0</v>
      </c>
      <c r="FO49">
        <v>1685752670.8</v>
      </c>
      <c r="FP49">
        <v>0</v>
      </c>
      <c r="FQ49">
        <v>474.88108</v>
      </c>
      <c r="FR49">
        <v>-55.218230837204729</v>
      </c>
      <c r="FS49">
        <v>-1019.288463388168</v>
      </c>
      <c r="FT49">
        <v>8727.5915999999997</v>
      </c>
      <c r="FU49">
        <v>15</v>
      </c>
      <c r="FV49">
        <v>1707843540</v>
      </c>
      <c r="FW49" t="s">
        <v>487</v>
      </c>
      <c r="FX49">
        <v>1707843539.5</v>
      </c>
      <c r="FY49">
        <v>1707843540</v>
      </c>
      <c r="FZ49">
        <v>1</v>
      </c>
      <c r="GA49">
        <v>-0.112</v>
      </c>
      <c r="GB49">
        <v>6.8000000000000005E-2</v>
      </c>
      <c r="GC49">
        <v>-2.09</v>
      </c>
      <c r="GD49">
        <v>0.03</v>
      </c>
      <c r="GE49">
        <v>400</v>
      </c>
      <c r="GF49">
        <v>11</v>
      </c>
      <c r="GG49">
        <v>0.28000000000000003</v>
      </c>
      <c r="GH49">
        <v>0.05</v>
      </c>
      <c r="GI49">
        <v>6.6673255580706199</v>
      </c>
      <c r="GJ49">
        <v>-0.35453827604706961</v>
      </c>
      <c r="GK49">
        <v>6.0400693491060177E-2</v>
      </c>
      <c r="GL49">
        <v>1</v>
      </c>
      <c r="GM49">
        <v>3.8648183564566417E-2</v>
      </c>
      <c r="GN49">
        <v>1.2070730996020631E-2</v>
      </c>
      <c r="GO49">
        <v>2.2909618207442349E-3</v>
      </c>
      <c r="GP49">
        <v>1</v>
      </c>
      <c r="GQ49">
        <v>2</v>
      </c>
      <c r="GR49">
        <v>2</v>
      </c>
      <c r="GS49" t="s">
        <v>512</v>
      </c>
      <c r="GT49">
        <v>3.3678300000000001</v>
      </c>
      <c r="GU49">
        <v>2.76267</v>
      </c>
      <c r="GV49">
        <v>9.5904299999999998E-2</v>
      </c>
      <c r="GW49">
        <v>9.6358899999999997E-2</v>
      </c>
      <c r="GX49">
        <v>9.6184800000000001E-2</v>
      </c>
      <c r="GY49">
        <v>9.3152200000000004E-2</v>
      </c>
      <c r="GZ49">
        <v>21259.200000000001</v>
      </c>
      <c r="HA49">
        <v>21850.3</v>
      </c>
      <c r="HB49">
        <v>24974.799999999999</v>
      </c>
      <c r="HC49">
        <v>25593.599999999999</v>
      </c>
      <c r="HD49">
        <v>34327.5</v>
      </c>
      <c r="HE49">
        <v>34693</v>
      </c>
      <c r="HF49">
        <v>41768.699999999997</v>
      </c>
      <c r="HG49">
        <v>41410.1</v>
      </c>
      <c r="HH49">
        <v>1.73766</v>
      </c>
      <c r="HI49">
        <v>2.3059599999999998</v>
      </c>
      <c r="HJ49">
        <v>0.100511</v>
      </c>
      <c r="HK49">
        <v>0</v>
      </c>
      <c r="HL49">
        <v>26.377700000000001</v>
      </c>
      <c r="HM49">
        <v>999.9</v>
      </c>
      <c r="HN49">
        <v>43.1</v>
      </c>
      <c r="HO49">
        <v>34.200000000000003</v>
      </c>
      <c r="HP49">
        <v>22.8552</v>
      </c>
      <c r="HQ49">
        <v>61.113700000000001</v>
      </c>
      <c r="HR49">
        <v>8.3974399999999996</v>
      </c>
      <c r="HS49">
        <v>2</v>
      </c>
      <c r="HT49">
        <v>-7.6398400000000005E-2</v>
      </c>
      <c r="HU49">
        <v>0</v>
      </c>
      <c r="HV49">
        <v>20.366</v>
      </c>
      <c r="HW49">
        <v>5.2033899999999997</v>
      </c>
      <c r="HX49">
        <v>11.9201</v>
      </c>
      <c r="HY49">
        <v>4.9905600000000003</v>
      </c>
      <c r="HZ49">
        <v>3.28152</v>
      </c>
      <c r="IA49">
        <v>9999</v>
      </c>
      <c r="IB49">
        <v>9999</v>
      </c>
      <c r="IC49">
        <v>9999</v>
      </c>
      <c r="ID49">
        <v>154.4</v>
      </c>
      <c r="IE49">
        <v>4.9720800000000001</v>
      </c>
      <c r="IF49">
        <v>1.8589899999999999</v>
      </c>
      <c r="IG49">
        <v>1.8681000000000001</v>
      </c>
      <c r="IH49">
        <v>1.86341</v>
      </c>
      <c r="II49">
        <v>1.8653999999999999</v>
      </c>
      <c r="IJ49">
        <v>1.86172</v>
      </c>
      <c r="IK49">
        <v>1.86375</v>
      </c>
      <c r="IL49">
        <v>1.8615900000000001</v>
      </c>
      <c r="IM49">
        <v>0</v>
      </c>
      <c r="IN49">
        <v>0</v>
      </c>
      <c r="IO49">
        <v>0</v>
      </c>
      <c r="IP49">
        <v>0</v>
      </c>
      <c r="IQ49" t="s">
        <v>443</v>
      </c>
      <c r="IR49" t="s">
        <v>444</v>
      </c>
      <c r="IS49" t="s">
        <v>445</v>
      </c>
      <c r="IT49" t="s">
        <v>445</v>
      </c>
      <c r="IU49" t="s">
        <v>445</v>
      </c>
      <c r="IV49" t="s">
        <v>445</v>
      </c>
      <c r="IW49">
        <v>0</v>
      </c>
      <c r="IX49">
        <v>100</v>
      </c>
      <c r="IY49">
        <v>100</v>
      </c>
      <c r="IZ49">
        <v>-2.08</v>
      </c>
      <c r="JA49">
        <v>0.15959999999999999</v>
      </c>
      <c r="JB49">
        <v>-1.252214354925264</v>
      </c>
      <c r="JC49">
        <v>-2.4932477295996069E-3</v>
      </c>
      <c r="JD49">
        <v>1.159696634280317E-6</v>
      </c>
      <c r="JE49">
        <v>-3.5013845820821591E-10</v>
      </c>
      <c r="JF49">
        <v>-1.8539783221661419E-2</v>
      </c>
      <c r="JG49">
        <v>-7.5935071553627593E-3</v>
      </c>
      <c r="JH49">
        <v>1.367325239740887E-3</v>
      </c>
      <c r="JI49">
        <v>-2.2944115828177239E-5</v>
      </c>
      <c r="JJ49">
        <v>2</v>
      </c>
      <c r="JK49">
        <v>2118</v>
      </c>
      <c r="JL49">
        <v>1</v>
      </c>
      <c r="JM49">
        <v>27</v>
      </c>
      <c r="JN49">
        <v>245.3</v>
      </c>
      <c r="JO49">
        <v>245.3</v>
      </c>
      <c r="JP49">
        <v>1.2866200000000001</v>
      </c>
      <c r="JQ49">
        <v>2.5756800000000002</v>
      </c>
      <c r="JR49">
        <v>2.19604</v>
      </c>
      <c r="JS49">
        <v>2.6916500000000001</v>
      </c>
      <c r="JT49">
        <v>2.1496599999999999</v>
      </c>
      <c r="JU49">
        <v>2.4487299999999999</v>
      </c>
      <c r="JV49">
        <v>39.742199999999997</v>
      </c>
      <c r="JW49">
        <v>14.0357</v>
      </c>
      <c r="JX49">
        <v>18</v>
      </c>
      <c r="JY49">
        <v>323.35300000000001</v>
      </c>
      <c r="JZ49">
        <v>708.08299999999997</v>
      </c>
      <c r="KA49">
        <v>26.754899999999999</v>
      </c>
      <c r="KB49">
        <v>26.429099999999998</v>
      </c>
      <c r="KC49">
        <v>30.000599999999999</v>
      </c>
      <c r="KD49">
        <v>26.378900000000002</v>
      </c>
      <c r="KE49">
        <v>26.349900000000002</v>
      </c>
      <c r="KF49">
        <v>25.809799999999999</v>
      </c>
      <c r="KG49">
        <v>28.442900000000002</v>
      </c>
      <c r="KH49">
        <v>56.802300000000002</v>
      </c>
      <c r="KI49">
        <v>-999.9</v>
      </c>
      <c r="KJ49">
        <v>400</v>
      </c>
      <c r="KK49">
        <v>17.554500000000001</v>
      </c>
      <c r="KL49">
        <v>101.239</v>
      </c>
      <c r="KM49">
        <v>101.264</v>
      </c>
    </row>
    <row r="50" spans="1:299" x14ac:dyDescent="0.2">
      <c r="A50">
        <v>34</v>
      </c>
      <c r="B50" t="s">
        <v>538</v>
      </c>
      <c r="C50">
        <v>12</v>
      </c>
      <c r="D50">
        <v>1707858461.5</v>
      </c>
      <c r="E50">
        <v>3800.5</v>
      </c>
      <c r="F50" t="s">
        <v>513</v>
      </c>
      <c r="G50" t="s">
        <v>514</v>
      </c>
      <c r="H50" t="s">
        <v>436</v>
      </c>
      <c r="I50" t="s">
        <v>437</v>
      </c>
      <c r="J50" t="s">
        <v>438</v>
      </c>
      <c r="M50" t="s">
        <v>438</v>
      </c>
      <c r="O50">
        <v>1707858461.5</v>
      </c>
      <c r="P50">
        <f t="shared" si="0"/>
        <v>1.1635907032432138E-3</v>
      </c>
      <c r="Q50">
        <f t="shared" si="1"/>
        <v>1.1635907032432138</v>
      </c>
      <c r="R50">
        <f t="shared" si="2"/>
        <v>4.9937961000459641</v>
      </c>
      <c r="S50">
        <f t="shared" si="3"/>
        <v>401.91399999999999</v>
      </c>
      <c r="T50">
        <f t="shared" si="4"/>
        <v>250.01705756266517</v>
      </c>
      <c r="U50">
        <f t="shared" si="5"/>
        <v>25.493291795016805</v>
      </c>
      <c r="V50">
        <f t="shared" si="6"/>
        <v>40.981647325940003</v>
      </c>
      <c r="W50">
        <f t="shared" si="7"/>
        <v>5.7114777046129966E-2</v>
      </c>
      <c r="X50">
        <f t="shared" si="8"/>
        <v>2.9686790380033163</v>
      </c>
      <c r="Y50">
        <f t="shared" si="9"/>
        <v>5.6511273992191732E-2</v>
      </c>
      <c r="Z50">
        <f t="shared" si="10"/>
        <v>3.5373237095475796E-2</v>
      </c>
      <c r="AA50">
        <f t="shared" si="11"/>
        <v>266.61849992464062</v>
      </c>
      <c r="AB50">
        <f t="shared" si="12"/>
        <v>29.381722926852166</v>
      </c>
      <c r="AC50">
        <f t="shared" si="13"/>
        <v>28.250699999999998</v>
      </c>
      <c r="AD50">
        <f t="shared" si="14"/>
        <v>3.8506559263688867</v>
      </c>
      <c r="AE50">
        <f t="shared" si="15"/>
        <v>47.324602228964579</v>
      </c>
      <c r="AF50">
        <f t="shared" si="16"/>
        <v>1.8094005930710002</v>
      </c>
      <c r="AG50">
        <f t="shared" si="17"/>
        <v>3.823382570268226</v>
      </c>
      <c r="AH50">
        <f t="shared" si="18"/>
        <v>2.0412553332978867</v>
      </c>
      <c r="AI50">
        <f t="shared" si="19"/>
        <v>-51.314350013025731</v>
      </c>
      <c r="AJ50">
        <f t="shared" si="20"/>
        <v>-19.541790506643473</v>
      </c>
      <c r="AK50">
        <f t="shared" si="21"/>
        <v>-1.4375814639482951</v>
      </c>
      <c r="AL50">
        <f t="shared" si="22"/>
        <v>194.32477794102314</v>
      </c>
      <c r="AM50">
        <f t="shared" si="23"/>
        <v>-1.7888029754971153</v>
      </c>
      <c r="AN50">
        <f t="shared" si="24"/>
        <v>-1.0848847211994894</v>
      </c>
      <c r="AO50">
        <f t="shared" si="25"/>
        <v>4.9937961000459641</v>
      </c>
      <c r="AP50">
        <v>407.60895929905621</v>
      </c>
      <c r="AQ50">
        <v>409.82215757575773</v>
      </c>
      <c r="AR50">
        <v>-1.6882479025348529</v>
      </c>
      <c r="AS50">
        <v>67.025692799190949</v>
      </c>
      <c r="AT50">
        <f t="shared" si="26"/>
        <v>1.1635907032432138</v>
      </c>
      <c r="AU50">
        <v>18.655221954133928</v>
      </c>
      <c r="AV50">
        <v>17.61607575757575</v>
      </c>
      <c r="AW50">
        <v>0.44172544307159878</v>
      </c>
      <c r="AX50">
        <v>78.660037444985136</v>
      </c>
      <c r="AY50">
        <v>19</v>
      </c>
      <c r="AZ50">
        <v>3</v>
      </c>
      <c r="BA50">
        <f t="shared" si="27"/>
        <v>1</v>
      </c>
      <c r="BB50">
        <f t="shared" si="28"/>
        <v>0</v>
      </c>
      <c r="BC50">
        <f t="shared" si="29"/>
        <v>53855.102075770083</v>
      </c>
      <c r="BD50" t="s">
        <v>439</v>
      </c>
      <c r="BE50" t="s">
        <v>439</v>
      </c>
      <c r="BF50">
        <v>0</v>
      </c>
      <c r="BG50">
        <v>0</v>
      </c>
      <c r="BH50" t="e">
        <f t="shared" si="30"/>
        <v>#DIV/0!</v>
      </c>
      <c r="BI50">
        <v>0</v>
      </c>
      <c r="BJ50" t="s">
        <v>439</v>
      </c>
      <c r="BK50" t="s">
        <v>439</v>
      </c>
      <c r="BL50">
        <v>0</v>
      </c>
      <c r="BM50">
        <v>0</v>
      </c>
      <c r="BN50" t="e">
        <f t="shared" si="31"/>
        <v>#DIV/0!</v>
      </c>
      <c r="BO50">
        <v>0.5</v>
      </c>
      <c r="BP50">
        <f t="shared" si="32"/>
        <v>1176.4358999623203</v>
      </c>
      <c r="BQ50">
        <f t="shared" si="33"/>
        <v>4.9937961000459641</v>
      </c>
      <c r="BR50" t="e">
        <f t="shared" si="34"/>
        <v>#DIV/0!</v>
      </c>
      <c r="BS50">
        <f t="shared" si="35"/>
        <v>4.2448518446316615E-3</v>
      </c>
      <c r="BT50" t="e">
        <f t="shared" si="36"/>
        <v>#DIV/0!</v>
      </c>
      <c r="BU50" t="e">
        <f t="shared" si="37"/>
        <v>#DIV/0!</v>
      </c>
      <c r="BV50" t="s">
        <v>439</v>
      </c>
      <c r="BW50">
        <v>0</v>
      </c>
      <c r="BX50" t="e">
        <f t="shared" si="38"/>
        <v>#DIV/0!</v>
      </c>
      <c r="BY50" t="e">
        <f t="shared" si="39"/>
        <v>#DIV/0!</v>
      </c>
      <c r="BZ50" t="e">
        <f t="shared" si="40"/>
        <v>#DIV/0!</v>
      </c>
      <c r="CA50" t="e">
        <f t="shared" si="41"/>
        <v>#DIV/0!</v>
      </c>
      <c r="CB50" t="e">
        <f t="shared" si="42"/>
        <v>#DIV/0!</v>
      </c>
      <c r="CC50" t="e">
        <f t="shared" si="43"/>
        <v>#DIV/0!</v>
      </c>
      <c r="CD50" t="e">
        <f t="shared" si="44"/>
        <v>#DIV/0!</v>
      </c>
      <c r="CE50" t="e">
        <f t="shared" si="45"/>
        <v>#DIV/0!</v>
      </c>
      <c r="DN50">
        <f t="shared" si="46"/>
        <v>1400.17</v>
      </c>
      <c r="DO50">
        <f t="shared" si="47"/>
        <v>1176.4358999623203</v>
      </c>
      <c r="DP50">
        <f t="shared" si="48"/>
        <v>0.84020933169709411</v>
      </c>
      <c r="DQ50">
        <f t="shared" si="49"/>
        <v>0.19041866339418828</v>
      </c>
      <c r="DR50">
        <v>6</v>
      </c>
      <c r="DS50">
        <v>0.5</v>
      </c>
      <c r="DT50" t="s">
        <v>440</v>
      </c>
      <c r="DU50">
        <v>2</v>
      </c>
      <c r="DV50" t="b">
        <v>1</v>
      </c>
      <c r="DW50">
        <v>1707858461.5</v>
      </c>
      <c r="DX50">
        <v>401.91399999999999</v>
      </c>
      <c r="DY50">
        <v>400.00700000000001</v>
      </c>
      <c r="DZ50">
        <v>17.745100000000001</v>
      </c>
      <c r="EA50">
        <v>18.6585</v>
      </c>
      <c r="EB50">
        <v>404.00700000000001</v>
      </c>
      <c r="EC50">
        <v>17.5989</v>
      </c>
      <c r="ED50">
        <v>700</v>
      </c>
      <c r="EE50">
        <v>101.881</v>
      </c>
      <c r="EF50">
        <v>8.5209999999999994E-2</v>
      </c>
      <c r="EG50">
        <v>28.128599999999999</v>
      </c>
      <c r="EH50">
        <v>28.250699999999998</v>
      </c>
      <c r="EI50">
        <v>999.9</v>
      </c>
      <c r="EJ50">
        <v>0</v>
      </c>
      <c r="EK50">
        <v>0</v>
      </c>
      <c r="EL50">
        <v>10036</v>
      </c>
      <c r="EM50">
        <v>0</v>
      </c>
      <c r="EN50">
        <v>1.91117E-3</v>
      </c>
      <c r="EO50">
        <v>1.9068000000000001</v>
      </c>
      <c r="EP50">
        <v>409.17500000000001</v>
      </c>
      <c r="EQ50">
        <v>407.613</v>
      </c>
      <c r="ER50">
        <v>-0.91337999999999997</v>
      </c>
      <c r="ES50">
        <v>400.00700000000001</v>
      </c>
      <c r="ET50">
        <v>18.6585</v>
      </c>
      <c r="EU50">
        <v>1.80789</v>
      </c>
      <c r="EV50">
        <v>1.9009499999999999</v>
      </c>
      <c r="EW50">
        <v>15.8552</v>
      </c>
      <c r="EX50">
        <v>16.642600000000002</v>
      </c>
      <c r="EY50">
        <v>1400.17</v>
      </c>
      <c r="EZ50">
        <v>0.99299999999999999</v>
      </c>
      <c r="FA50">
        <v>6.9998700000000001E-3</v>
      </c>
      <c r="FB50">
        <v>0</v>
      </c>
      <c r="FC50">
        <v>482.97500000000002</v>
      </c>
      <c r="FD50">
        <v>5.0001800000000003</v>
      </c>
      <c r="FE50">
        <v>8925.25</v>
      </c>
      <c r="FF50">
        <v>12011.3</v>
      </c>
      <c r="FG50">
        <v>36.875</v>
      </c>
      <c r="FH50">
        <v>39.061999999999998</v>
      </c>
      <c r="FI50">
        <v>37.811999999999998</v>
      </c>
      <c r="FJ50">
        <v>38.311999999999998</v>
      </c>
      <c r="FK50">
        <v>38.186999999999998</v>
      </c>
      <c r="FL50">
        <v>1385.4</v>
      </c>
      <c r="FM50">
        <v>9.77</v>
      </c>
      <c r="FN50">
        <v>0</v>
      </c>
      <c r="FO50">
        <v>1685752871.8</v>
      </c>
      <c r="FP50">
        <v>0</v>
      </c>
      <c r="FQ50">
        <v>448.5907576923077</v>
      </c>
      <c r="FR50">
        <v>1217.4750609149539</v>
      </c>
      <c r="FS50">
        <v>-556408.71686122078</v>
      </c>
      <c r="FT50">
        <v>40903.977692307693</v>
      </c>
      <c r="FU50">
        <v>15</v>
      </c>
      <c r="FV50">
        <v>1707843540</v>
      </c>
      <c r="FW50" t="s">
        <v>487</v>
      </c>
      <c r="FX50">
        <v>1707843539.5</v>
      </c>
      <c r="FY50">
        <v>1707843540</v>
      </c>
      <c r="FZ50">
        <v>1</v>
      </c>
      <c r="GA50">
        <v>-0.112</v>
      </c>
      <c r="GB50">
        <v>6.8000000000000005E-2</v>
      </c>
      <c r="GC50">
        <v>-2.09</v>
      </c>
      <c r="GD50">
        <v>0.03</v>
      </c>
      <c r="GE50">
        <v>400</v>
      </c>
      <c r="GF50">
        <v>11</v>
      </c>
      <c r="GG50">
        <v>0.28000000000000003</v>
      </c>
      <c r="GH50">
        <v>0.05</v>
      </c>
      <c r="GI50">
        <v>-13.570335461646501</v>
      </c>
      <c r="GJ50">
        <v>-3.8058113912663281</v>
      </c>
      <c r="GK50">
        <v>19.329666328531768</v>
      </c>
      <c r="GL50">
        <v>0</v>
      </c>
      <c r="GM50">
        <v>-0.14086919062337561</v>
      </c>
      <c r="GN50">
        <v>-0.19836819050210261</v>
      </c>
      <c r="GO50">
        <v>0.2104751111882415</v>
      </c>
      <c r="GP50">
        <v>0</v>
      </c>
      <c r="GQ50">
        <v>0</v>
      </c>
      <c r="GR50">
        <v>2</v>
      </c>
      <c r="GS50" t="s">
        <v>442</v>
      </c>
      <c r="GT50">
        <v>3.3681199999999998</v>
      </c>
      <c r="GU50">
        <v>2.7797399999999999</v>
      </c>
      <c r="GV50">
        <v>9.7279699999999997E-2</v>
      </c>
      <c r="GW50">
        <v>9.6294900000000003E-2</v>
      </c>
      <c r="GX50">
        <v>9.3466400000000005E-2</v>
      </c>
      <c r="GY50">
        <v>9.6369700000000003E-2</v>
      </c>
      <c r="GZ50">
        <v>21220.5</v>
      </c>
      <c r="HA50">
        <v>21843.8</v>
      </c>
      <c r="HB50">
        <v>24968.6</v>
      </c>
      <c r="HC50">
        <v>25585.4</v>
      </c>
      <c r="HD50">
        <v>34422.6</v>
      </c>
      <c r="HE50">
        <v>34560.300000000003</v>
      </c>
      <c r="HF50">
        <v>41757.1</v>
      </c>
      <c r="HG50">
        <v>41398.699999999997</v>
      </c>
      <c r="HH50">
        <v>2.3976999999999999</v>
      </c>
      <c r="HI50">
        <v>2.3023400000000001</v>
      </c>
      <c r="HJ50">
        <v>4.3791499999999997E-2</v>
      </c>
      <c r="HK50">
        <v>0</v>
      </c>
      <c r="HL50">
        <v>27.535599999999999</v>
      </c>
      <c r="HM50">
        <v>999.9</v>
      </c>
      <c r="HN50">
        <v>42.6</v>
      </c>
      <c r="HO50">
        <v>34.5</v>
      </c>
      <c r="HP50">
        <v>22.971499999999999</v>
      </c>
      <c r="HQ50">
        <v>60.783700000000003</v>
      </c>
      <c r="HR50">
        <v>10.028</v>
      </c>
      <c r="HS50">
        <v>2</v>
      </c>
      <c r="HT50">
        <v>-5.9239800000000002E-2</v>
      </c>
      <c r="HU50">
        <v>0</v>
      </c>
      <c r="HV50">
        <v>20.3657</v>
      </c>
      <c r="HW50">
        <v>5.2021899999999999</v>
      </c>
      <c r="HX50">
        <v>11.9201</v>
      </c>
      <c r="HY50">
        <v>4.99024</v>
      </c>
      <c r="HZ50">
        <v>3.28138</v>
      </c>
      <c r="IA50">
        <v>9999</v>
      </c>
      <c r="IB50">
        <v>9999</v>
      </c>
      <c r="IC50">
        <v>9999</v>
      </c>
      <c r="ID50">
        <v>154.5</v>
      </c>
      <c r="IE50">
        <v>4.9720599999999999</v>
      </c>
      <c r="IF50">
        <v>1.859</v>
      </c>
      <c r="IG50">
        <v>1.8681300000000001</v>
      </c>
      <c r="IH50">
        <v>1.8634299999999999</v>
      </c>
      <c r="II50">
        <v>1.8653900000000001</v>
      </c>
      <c r="IJ50">
        <v>1.86172</v>
      </c>
      <c r="IK50">
        <v>1.86372</v>
      </c>
      <c r="IL50">
        <v>1.8615999999999999</v>
      </c>
      <c r="IM50">
        <v>0</v>
      </c>
      <c r="IN50">
        <v>0</v>
      </c>
      <c r="IO50">
        <v>0</v>
      </c>
      <c r="IP50">
        <v>0</v>
      </c>
      <c r="IQ50" t="s">
        <v>443</v>
      </c>
      <c r="IR50" t="s">
        <v>444</v>
      </c>
      <c r="IS50" t="s">
        <v>445</v>
      </c>
      <c r="IT50" t="s">
        <v>445</v>
      </c>
      <c r="IU50" t="s">
        <v>445</v>
      </c>
      <c r="IV50" t="s">
        <v>445</v>
      </c>
      <c r="IW50">
        <v>0</v>
      </c>
      <c r="IX50">
        <v>100</v>
      </c>
      <c r="IY50">
        <v>100</v>
      </c>
      <c r="IZ50">
        <v>-2.093</v>
      </c>
      <c r="JA50">
        <v>0.1462</v>
      </c>
      <c r="JB50">
        <v>-1.252214354925264</v>
      </c>
      <c r="JC50">
        <v>-2.4932477295996069E-3</v>
      </c>
      <c r="JD50">
        <v>1.159696634280317E-6</v>
      </c>
      <c r="JE50">
        <v>-3.5013845820821591E-10</v>
      </c>
      <c r="JF50">
        <v>-1.8539783221661419E-2</v>
      </c>
      <c r="JG50">
        <v>-7.5935071553627593E-3</v>
      </c>
      <c r="JH50">
        <v>1.367325239740887E-3</v>
      </c>
      <c r="JI50">
        <v>-2.2944115828177239E-5</v>
      </c>
      <c r="JJ50">
        <v>2</v>
      </c>
      <c r="JK50">
        <v>2118</v>
      </c>
      <c r="JL50">
        <v>1</v>
      </c>
      <c r="JM50">
        <v>27</v>
      </c>
      <c r="JN50">
        <v>248.7</v>
      </c>
      <c r="JO50">
        <v>248.7</v>
      </c>
      <c r="JP50">
        <v>1.2866200000000001</v>
      </c>
      <c r="JQ50">
        <v>2.5732400000000002</v>
      </c>
      <c r="JR50">
        <v>2.19604</v>
      </c>
      <c r="JS50">
        <v>2.6916500000000001</v>
      </c>
      <c r="JT50">
        <v>2.1496599999999999</v>
      </c>
      <c r="JU50">
        <v>2.4645999999999999</v>
      </c>
      <c r="JV50">
        <v>40.146000000000001</v>
      </c>
      <c r="JW50">
        <v>14.009499999999999</v>
      </c>
      <c r="JX50">
        <v>18</v>
      </c>
      <c r="JY50">
        <v>710.56899999999996</v>
      </c>
      <c r="JZ50">
        <v>708.12400000000002</v>
      </c>
      <c r="KA50">
        <v>27.1492</v>
      </c>
      <c r="KB50">
        <v>26.699000000000002</v>
      </c>
      <c r="KC50">
        <v>30.000499999999999</v>
      </c>
      <c r="KD50">
        <v>26.628599999999999</v>
      </c>
      <c r="KE50">
        <v>26.599900000000002</v>
      </c>
      <c r="KF50">
        <v>25.814900000000002</v>
      </c>
      <c r="KG50">
        <v>24.802399999999999</v>
      </c>
      <c r="KH50">
        <v>55.681100000000001</v>
      </c>
      <c r="KI50">
        <v>-999.9</v>
      </c>
      <c r="KJ50">
        <v>400</v>
      </c>
      <c r="KK50">
        <v>18.694900000000001</v>
      </c>
      <c r="KL50">
        <v>101.212</v>
      </c>
      <c r="KM50">
        <v>101.23399999999999</v>
      </c>
    </row>
    <row r="51" spans="1:299" x14ac:dyDescent="0.2">
      <c r="A51">
        <v>35</v>
      </c>
      <c r="B51" t="s">
        <v>538</v>
      </c>
      <c r="C51">
        <v>13</v>
      </c>
      <c r="D51">
        <v>1707858652</v>
      </c>
      <c r="E51">
        <v>3991</v>
      </c>
      <c r="F51" t="s">
        <v>515</v>
      </c>
      <c r="G51" t="s">
        <v>516</v>
      </c>
      <c r="H51" t="s">
        <v>436</v>
      </c>
      <c r="I51" t="s">
        <v>437</v>
      </c>
      <c r="J51" t="s">
        <v>438</v>
      </c>
      <c r="M51" t="s">
        <v>438</v>
      </c>
      <c r="O51">
        <v>1707858652</v>
      </c>
      <c r="P51">
        <f t="shared" si="0"/>
        <v>1.091944102377848E-3</v>
      </c>
      <c r="Q51">
        <f t="shared" si="1"/>
        <v>1.091944102377848</v>
      </c>
      <c r="R51">
        <f t="shared" si="2"/>
        <v>5.8865886236016136</v>
      </c>
      <c r="S51">
        <f t="shared" si="3"/>
        <v>401.56400000000002</v>
      </c>
      <c r="T51">
        <f t="shared" si="4"/>
        <v>231.44548803955723</v>
      </c>
      <c r="U51">
        <f t="shared" si="5"/>
        <v>23.598388085864904</v>
      </c>
      <c r="V51">
        <f t="shared" si="6"/>
        <v>40.943823072898404</v>
      </c>
      <c r="W51">
        <f t="shared" si="7"/>
        <v>5.9172621902283874E-2</v>
      </c>
      <c r="X51">
        <f t="shared" si="8"/>
        <v>2.9570195820727689</v>
      </c>
      <c r="Y51">
        <f t="shared" si="9"/>
        <v>5.8522590058840071E-2</v>
      </c>
      <c r="Z51">
        <f t="shared" si="10"/>
        <v>3.6634426438304259E-2</v>
      </c>
      <c r="AA51">
        <f t="shared" si="11"/>
        <v>266.55769992462336</v>
      </c>
      <c r="AB51">
        <f t="shared" si="12"/>
        <v>29.532414467454164</v>
      </c>
      <c r="AC51">
        <f t="shared" si="13"/>
        <v>27.6188</v>
      </c>
      <c r="AD51">
        <f t="shared" si="14"/>
        <v>3.7113213564222853</v>
      </c>
      <c r="AE51">
        <f t="shared" si="15"/>
        <v>48.309127173445439</v>
      </c>
      <c r="AF51">
        <f t="shared" si="16"/>
        <v>1.8608678221624801</v>
      </c>
      <c r="AG51">
        <f t="shared" si="17"/>
        <v>3.8520005039241569</v>
      </c>
      <c r="AH51">
        <f t="shared" si="18"/>
        <v>1.8504535342598052</v>
      </c>
      <c r="AI51">
        <f t="shared" si="19"/>
        <v>-48.154734914863099</v>
      </c>
      <c r="AJ51">
        <f t="shared" si="20"/>
        <v>101.69327785018402</v>
      </c>
      <c r="AK51">
        <f t="shared" si="21"/>
        <v>7.4916891651735051</v>
      </c>
      <c r="AL51">
        <f t="shared" si="22"/>
        <v>327.58793202511777</v>
      </c>
      <c r="AM51">
        <f t="shared" si="23"/>
        <v>-1.453760081637743</v>
      </c>
      <c r="AN51">
        <f t="shared" si="24"/>
        <v>-0.95539109173707315</v>
      </c>
      <c r="AO51">
        <f t="shared" si="25"/>
        <v>5.8865886236016136</v>
      </c>
      <c r="AP51">
        <v>407.76706152261829</v>
      </c>
      <c r="AQ51">
        <v>409.73583636363622</v>
      </c>
      <c r="AR51">
        <v>-1.8270249712160529</v>
      </c>
      <c r="AS51">
        <v>67.025479553488552</v>
      </c>
      <c r="AT51">
        <f t="shared" si="26"/>
        <v>1.091944102377848</v>
      </c>
      <c r="AU51">
        <v>19.049616190026491</v>
      </c>
      <c r="AV51">
        <v>18.13086484848484</v>
      </c>
      <c r="AW51">
        <v>0.40226061936765167</v>
      </c>
      <c r="AX51">
        <v>78.656853082829642</v>
      </c>
      <c r="AY51">
        <v>73</v>
      </c>
      <c r="AZ51">
        <v>10</v>
      </c>
      <c r="BA51">
        <f t="shared" si="27"/>
        <v>1</v>
      </c>
      <c r="BB51">
        <f t="shared" si="28"/>
        <v>0</v>
      </c>
      <c r="BC51">
        <f t="shared" si="29"/>
        <v>53492.107695147235</v>
      </c>
      <c r="BD51" t="s">
        <v>439</v>
      </c>
      <c r="BE51" t="s">
        <v>439</v>
      </c>
      <c r="BF51">
        <v>0</v>
      </c>
      <c r="BG51">
        <v>0</v>
      </c>
      <c r="BH51" t="e">
        <f t="shared" si="30"/>
        <v>#DIV/0!</v>
      </c>
      <c r="BI51">
        <v>0</v>
      </c>
      <c r="BJ51" t="s">
        <v>439</v>
      </c>
      <c r="BK51" t="s">
        <v>439</v>
      </c>
      <c r="BL51">
        <v>0</v>
      </c>
      <c r="BM51">
        <v>0</v>
      </c>
      <c r="BN51" t="e">
        <f t="shared" si="31"/>
        <v>#DIV/0!</v>
      </c>
      <c r="BO51">
        <v>0.5</v>
      </c>
      <c r="BP51">
        <f t="shared" si="32"/>
        <v>1176.1670999623116</v>
      </c>
      <c r="BQ51">
        <f t="shared" si="33"/>
        <v>5.8865886236016136</v>
      </c>
      <c r="BR51" t="e">
        <f t="shared" si="34"/>
        <v>#DIV/0!</v>
      </c>
      <c r="BS51">
        <f t="shared" si="35"/>
        <v>5.0048914170361001E-3</v>
      </c>
      <c r="BT51" t="e">
        <f t="shared" si="36"/>
        <v>#DIV/0!</v>
      </c>
      <c r="BU51" t="e">
        <f t="shared" si="37"/>
        <v>#DIV/0!</v>
      </c>
      <c r="BV51" t="s">
        <v>439</v>
      </c>
      <c r="BW51">
        <v>0</v>
      </c>
      <c r="BX51" t="e">
        <f t="shared" si="38"/>
        <v>#DIV/0!</v>
      </c>
      <c r="BY51" t="e">
        <f t="shared" si="39"/>
        <v>#DIV/0!</v>
      </c>
      <c r="BZ51" t="e">
        <f t="shared" si="40"/>
        <v>#DIV/0!</v>
      </c>
      <c r="CA51" t="e">
        <f t="shared" si="41"/>
        <v>#DIV/0!</v>
      </c>
      <c r="CB51" t="e">
        <f t="shared" si="42"/>
        <v>#DIV/0!</v>
      </c>
      <c r="CC51" t="e">
        <f t="shared" si="43"/>
        <v>#DIV/0!</v>
      </c>
      <c r="CD51" t="e">
        <f t="shared" si="44"/>
        <v>#DIV/0!</v>
      </c>
      <c r="CE51" t="e">
        <f t="shared" si="45"/>
        <v>#DIV/0!</v>
      </c>
      <c r="DN51">
        <f t="shared" si="46"/>
        <v>1399.85</v>
      </c>
      <c r="DO51">
        <f t="shared" si="47"/>
        <v>1176.1670999623116</v>
      </c>
      <c r="DP51">
        <f t="shared" si="48"/>
        <v>0.84020937954946007</v>
      </c>
      <c r="DQ51">
        <f t="shared" si="49"/>
        <v>0.19041875909892014</v>
      </c>
      <c r="DR51">
        <v>6</v>
      </c>
      <c r="DS51">
        <v>0.5</v>
      </c>
      <c r="DT51" t="s">
        <v>440</v>
      </c>
      <c r="DU51">
        <v>2</v>
      </c>
      <c r="DV51" t="b">
        <v>1</v>
      </c>
      <c r="DW51">
        <v>1707858652</v>
      </c>
      <c r="DX51">
        <v>401.56400000000002</v>
      </c>
      <c r="DY51">
        <v>399.98899999999998</v>
      </c>
      <c r="DZ51">
        <v>18.250800000000002</v>
      </c>
      <c r="EA51">
        <v>19.0548</v>
      </c>
      <c r="EB51">
        <v>403.65699999999998</v>
      </c>
      <c r="EC51">
        <v>18.094999999999999</v>
      </c>
      <c r="ED51">
        <v>699.96600000000001</v>
      </c>
      <c r="EE51">
        <v>101.88</v>
      </c>
      <c r="EF51">
        <v>8.0890599999999993E-2</v>
      </c>
      <c r="EG51">
        <v>28.256699999999999</v>
      </c>
      <c r="EH51">
        <v>27.6188</v>
      </c>
      <c r="EI51">
        <v>999.9</v>
      </c>
      <c r="EJ51">
        <v>0</v>
      </c>
      <c r="EK51">
        <v>0</v>
      </c>
      <c r="EL51">
        <v>9970</v>
      </c>
      <c r="EM51">
        <v>0</v>
      </c>
      <c r="EN51">
        <v>1.91117E-3</v>
      </c>
      <c r="EO51">
        <v>1.5751299999999999</v>
      </c>
      <c r="EP51">
        <v>409.029</v>
      </c>
      <c r="EQ51">
        <v>407.75900000000001</v>
      </c>
      <c r="ER51">
        <v>-0.80397799999999997</v>
      </c>
      <c r="ES51">
        <v>399.98899999999998</v>
      </c>
      <c r="ET51">
        <v>19.0548</v>
      </c>
      <c r="EU51">
        <v>1.85938</v>
      </c>
      <c r="EV51">
        <v>1.94129</v>
      </c>
      <c r="EW51">
        <v>16.295200000000001</v>
      </c>
      <c r="EX51">
        <v>16.973500000000001</v>
      </c>
      <c r="EY51">
        <v>1399.85</v>
      </c>
      <c r="EZ51">
        <v>0.99299899999999997</v>
      </c>
      <c r="FA51">
        <v>7.0012900000000003E-3</v>
      </c>
      <c r="FB51">
        <v>0</v>
      </c>
      <c r="FC51">
        <v>631.26700000000005</v>
      </c>
      <c r="FD51">
        <v>5.0001800000000003</v>
      </c>
      <c r="FE51">
        <v>10902</v>
      </c>
      <c r="FF51">
        <v>12008.5</v>
      </c>
      <c r="FG51">
        <v>36.25</v>
      </c>
      <c r="FH51">
        <v>38.5</v>
      </c>
      <c r="FI51">
        <v>37.125</v>
      </c>
      <c r="FJ51">
        <v>37.811999999999998</v>
      </c>
      <c r="FK51">
        <v>37.625</v>
      </c>
      <c r="FL51">
        <v>1385.08</v>
      </c>
      <c r="FM51">
        <v>9.77</v>
      </c>
      <c r="FN51">
        <v>0</v>
      </c>
      <c r="FO51">
        <v>1685753062</v>
      </c>
      <c r="FP51">
        <v>0</v>
      </c>
      <c r="FQ51">
        <v>658.49944000000005</v>
      </c>
      <c r="FR51">
        <v>536.22153872604929</v>
      </c>
      <c r="FS51">
        <v>-697260.93801448983</v>
      </c>
      <c r="FT51">
        <v>45399.839999999997</v>
      </c>
      <c r="FU51">
        <v>15</v>
      </c>
      <c r="FV51">
        <v>1707843540</v>
      </c>
      <c r="FW51" t="s">
        <v>487</v>
      </c>
      <c r="FX51">
        <v>1707843539.5</v>
      </c>
      <c r="FY51">
        <v>1707843540</v>
      </c>
      <c r="FZ51">
        <v>1</v>
      </c>
      <c r="GA51">
        <v>-0.112</v>
      </c>
      <c r="GB51">
        <v>6.8000000000000005E-2</v>
      </c>
      <c r="GC51">
        <v>-2.09</v>
      </c>
      <c r="GD51">
        <v>0.03</v>
      </c>
      <c r="GE51">
        <v>400</v>
      </c>
      <c r="GF51">
        <v>11</v>
      </c>
      <c r="GG51">
        <v>0.28000000000000003</v>
      </c>
      <c r="GH51">
        <v>0.05</v>
      </c>
      <c r="GI51">
        <v>-16.001956436640551</v>
      </c>
      <c r="GJ51">
        <v>0.9847429187512805</v>
      </c>
      <c r="GK51">
        <v>18.989854841119769</v>
      </c>
      <c r="GL51">
        <v>0</v>
      </c>
      <c r="GM51">
        <v>-0.16281736534462071</v>
      </c>
      <c r="GN51">
        <v>3.47664140849634E-2</v>
      </c>
      <c r="GO51">
        <v>0.23612757494550951</v>
      </c>
      <c r="GP51">
        <v>0</v>
      </c>
      <c r="GQ51">
        <v>0</v>
      </c>
      <c r="GR51">
        <v>2</v>
      </c>
      <c r="GS51" t="s">
        <v>442</v>
      </c>
      <c r="GT51">
        <v>3.3682300000000001</v>
      </c>
      <c r="GU51">
        <v>2.7748400000000002</v>
      </c>
      <c r="GV51">
        <v>9.7178399999999998E-2</v>
      </c>
      <c r="GW51">
        <v>9.62538E-2</v>
      </c>
      <c r="GX51">
        <v>9.5336500000000005E-2</v>
      </c>
      <c r="GY51">
        <v>9.7791100000000006E-2</v>
      </c>
      <c r="GZ51">
        <v>21221.8</v>
      </c>
      <c r="HA51">
        <v>21842.7</v>
      </c>
      <c r="HB51">
        <v>24968</v>
      </c>
      <c r="HC51">
        <v>25583.599999999999</v>
      </c>
      <c r="HD51">
        <v>34350.199999999997</v>
      </c>
      <c r="HE51">
        <v>34504.400000000001</v>
      </c>
      <c r="HF51">
        <v>41755.699999999997</v>
      </c>
      <c r="HG51">
        <v>41396.699999999997</v>
      </c>
      <c r="HH51">
        <v>2.3077999999999999</v>
      </c>
      <c r="HI51">
        <v>2.29888</v>
      </c>
      <c r="HJ51">
        <v>-1.53124E-2</v>
      </c>
      <c r="HK51">
        <v>0</v>
      </c>
      <c r="HL51">
        <v>27.8689</v>
      </c>
      <c r="HM51">
        <v>999.9</v>
      </c>
      <c r="HN51">
        <v>42.3</v>
      </c>
      <c r="HO51">
        <v>34.9</v>
      </c>
      <c r="HP51">
        <v>23.3248</v>
      </c>
      <c r="HQ51">
        <v>61.303699999999999</v>
      </c>
      <c r="HR51">
        <v>9.6594499999999996</v>
      </c>
      <c r="HS51">
        <v>2</v>
      </c>
      <c r="HT51">
        <v>-5.1609799999999997E-2</v>
      </c>
      <c r="HU51">
        <v>0</v>
      </c>
      <c r="HV51">
        <v>20.365500000000001</v>
      </c>
      <c r="HW51">
        <v>5.2011200000000004</v>
      </c>
      <c r="HX51">
        <v>11.9201</v>
      </c>
      <c r="HY51">
        <v>4.99024</v>
      </c>
      <c r="HZ51">
        <v>3.2813400000000001</v>
      </c>
      <c r="IA51">
        <v>9999</v>
      </c>
      <c r="IB51">
        <v>9999</v>
      </c>
      <c r="IC51">
        <v>9999</v>
      </c>
      <c r="ID51">
        <v>154.5</v>
      </c>
      <c r="IE51">
        <v>4.9721299999999999</v>
      </c>
      <c r="IF51">
        <v>1.8591299999999999</v>
      </c>
      <c r="IG51">
        <v>1.8681300000000001</v>
      </c>
      <c r="IH51">
        <v>1.86354</v>
      </c>
      <c r="II51">
        <v>1.86541</v>
      </c>
      <c r="IJ51">
        <v>1.8617300000000001</v>
      </c>
      <c r="IK51">
        <v>1.8638300000000001</v>
      </c>
      <c r="IL51">
        <v>1.8616999999999999</v>
      </c>
      <c r="IM51">
        <v>0</v>
      </c>
      <c r="IN51">
        <v>0</v>
      </c>
      <c r="IO51">
        <v>0</v>
      </c>
      <c r="IP51">
        <v>0</v>
      </c>
      <c r="IQ51" t="s">
        <v>443</v>
      </c>
      <c r="IR51" t="s">
        <v>444</v>
      </c>
      <c r="IS51" t="s">
        <v>445</v>
      </c>
      <c r="IT51" t="s">
        <v>445</v>
      </c>
      <c r="IU51" t="s">
        <v>445</v>
      </c>
      <c r="IV51" t="s">
        <v>445</v>
      </c>
      <c r="IW51">
        <v>0</v>
      </c>
      <c r="IX51">
        <v>100</v>
      </c>
      <c r="IY51">
        <v>100</v>
      </c>
      <c r="IZ51">
        <v>-2.093</v>
      </c>
      <c r="JA51">
        <v>0.15579999999999999</v>
      </c>
      <c r="JB51">
        <v>-1.252214354925264</v>
      </c>
      <c r="JC51">
        <v>-2.4932477295996069E-3</v>
      </c>
      <c r="JD51">
        <v>1.159696634280317E-6</v>
      </c>
      <c r="JE51">
        <v>-3.5013845820821591E-10</v>
      </c>
      <c r="JF51">
        <v>-1.8539783221661419E-2</v>
      </c>
      <c r="JG51">
        <v>-7.5935071553627593E-3</v>
      </c>
      <c r="JH51">
        <v>1.367325239740887E-3</v>
      </c>
      <c r="JI51">
        <v>-2.2944115828177239E-5</v>
      </c>
      <c r="JJ51">
        <v>2</v>
      </c>
      <c r="JK51">
        <v>2118</v>
      </c>
      <c r="JL51">
        <v>1</v>
      </c>
      <c r="JM51">
        <v>27</v>
      </c>
      <c r="JN51">
        <v>251.9</v>
      </c>
      <c r="JO51">
        <v>251.9</v>
      </c>
      <c r="JP51">
        <v>1.2866200000000001</v>
      </c>
      <c r="JQ51">
        <v>2.5732400000000002</v>
      </c>
      <c r="JR51">
        <v>2.19604</v>
      </c>
      <c r="JS51">
        <v>2.6940900000000001</v>
      </c>
      <c r="JT51">
        <v>2.1484399999999999</v>
      </c>
      <c r="JU51">
        <v>2.47681</v>
      </c>
      <c r="JV51">
        <v>40.706699999999998</v>
      </c>
      <c r="JW51">
        <v>13.9657</v>
      </c>
      <c r="JX51">
        <v>18</v>
      </c>
      <c r="JY51">
        <v>644.96299999999997</v>
      </c>
      <c r="JZ51">
        <v>707.23400000000004</v>
      </c>
      <c r="KA51">
        <v>27.481100000000001</v>
      </c>
      <c r="KB51">
        <v>26.8551</v>
      </c>
      <c r="KC51">
        <v>30.0002</v>
      </c>
      <c r="KD51">
        <v>26.792300000000001</v>
      </c>
      <c r="KE51">
        <v>26.7652</v>
      </c>
      <c r="KF51">
        <v>25.8139</v>
      </c>
      <c r="KG51">
        <v>24.521999999999998</v>
      </c>
      <c r="KH51">
        <v>55.3108</v>
      </c>
      <c r="KI51">
        <v>-999.9</v>
      </c>
      <c r="KJ51">
        <v>400</v>
      </c>
      <c r="KK51">
        <v>19.024799999999999</v>
      </c>
      <c r="KL51">
        <v>101.209</v>
      </c>
      <c r="KM51">
        <v>101.229</v>
      </c>
    </row>
    <row r="52" spans="1:299" x14ac:dyDescent="0.2">
      <c r="A52">
        <v>36</v>
      </c>
      <c r="B52" t="s">
        <v>538</v>
      </c>
      <c r="C52">
        <v>14</v>
      </c>
      <c r="D52">
        <v>1707858814.5</v>
      </c>
      <c r="E52">
        <v>4153.5</v>
      </c>
      <c r="F52" t="s">
        <v>517</v>
      </c>
      <c r="G52" t="s">
        <v>518</v>
      </c>
      <c r="H52" t="s">
        <v>436</v>
      </c>
      <c r="I52" t="s">
        <v>437</v>
      </c>
      <c r="J52" t="s">
        <v>438</v>
      </c>
      <c r="M52" t="s">
        <v>438</v>
      </c>
      <c r="O52">
        <v>1707858814.5</v>
      </c>
      <c r="P52">
        <f t="shared" si="0"/>
        <v>3.4560975627284451E-4</v>
      </c>
      <c r="Q52">
        <f t="shared" si="1"/>
        <v>0.34560975627284451</v>
      </c>
      <c r="R52">
        <f t="shared" si="2"/>
        <v>3.4990704020603256</v>
      </c>
      <c r="S52">
        <f t="shared" si="3"/>
        <v>397.202</v>
      </c>
      <c r="T52">
        <f t="shared" si="4"/>
        <v>51.63620775574325</v>
      </c>
      <c r="U52">
        <f t="shared" si="5"/>
        <v>5.2649077943884661</v>
      </c>
      <c r="V52">
        <f t="shared" si="6"/>
        <v>40.499331702260598</v>
      </c>
      <c r="W52">
        <f t="shared" si="7"/>
        <v>1.6604241944168447E-2</v>
      </c>
      <c r="X52">
        <f t="shared" si="8"/>
        <v>2.9638897664072434</v>
      </c>
      <c r="Y52">
        <f t="shared" si="9"/>
        <v>1.6552737293592749E-2</v>
      </c>
      <c r="Z52">
        <f t="shared" si="10"/>
        <v>1.0350074903613293E-2</v>
      </c>
      <c r="AA52">
        <f t="shared" si="11"/>
        <v>266.6013999246357</v>
      </c>
      <c r="AB52">
        <f t="shared" si="12"/>
        <v>30.027843207765006</v>
      </c>
      <c r="AC52">
        <f t="shared" si="13"/>
        <v>29.052199999999999</v>
      </c>
      <c r="AD52">
        <f t="shared" si="14"/>
        <v>4.0339368623418022</v>
      </c>
      <c r="AE52">
        <f t="shared" si="15"/>
        <v>50.181060960988752</v>
      </c>
      <c r="AF52">
        <f t="shared" si="16"/>
        <v>1.9677049784645502</v>
      </c>
      <c r="AG52">
        <f t="shared" si="17"/>
        <v>3.9212103944838139</v>
      </c>
      <c r="AH52">
        <f t="shared" si="18"/>
        <v>2.066231883877252</v>
      </c>
      <c r="AI52">
        <f t="shared" si="19"/>
        <v>-15.241390251632444</v>
      </c>
      <c r="AJ52">
        <f t="shared" si="20"/>
        <v>-78.152909989830391</v>
      </c>
      <c r="AK52">
        <f t="shared" si="21"/>
        <v>-5.7940912482863336</v>
      </c>
      <c r="AL52">
        <f t="shared" si="22"/>
        <v>167.41300843488651</v>
      </c>
      <c r="AM52">
        <f t="shared" si="23"/>
        <v>3.2070703835485599</v>
      </c>
      <c r="AN52">
        <f t="shared" si="24"/>
        <v>0.19329522455779696</v>
      </c>
      <c r="AO52">
        <f t="shared" si="25"/>
        <v>3.4990704020603256</v>
      </c>
      <c r="AP52">
        <v>407.82965166378341</v>
      </c>
      <c r="AQ52">
        <v>405.02939393939369</v>
      </c>
      <c r="AR52">
        <v>-6.6278919708818551E-2</v>
      </c>
      <c r="AS52">
        <v>67.023690156185069</v>
      </c>
      <c r="AT52">
        <f t="shared" si="26"/>
        <v>0.34560975627284451</v>
      </c>
      <c r="AU52">
        <v>19.165477979612241</v>
      </c>
      <c r="AV52">
        <v>19.28796181818182</v>
      </c>
      <c r="AW52">
        <v>3.6822252589942532E-2</v>
      </c>
      <c r="AX52">
        <v>78.662926689067874</v>
      </c>
      <c r="AY52">
        <v>9</v>
      </c>
      <c r="AZ52">
        <v>1</v>
      </c>
      <c r="BA52">
        <f t="shared" si="27"/>
        <v>1</v>
      </c>
      <c r="BB52">
        <f t="shared" si="28"/>
        <v>0</v>
      </c>
      <c r="BC52">
        <f t="shared" si="29"/>
        <v>53637.695557472733</v>
      </c>
      <c r="BD52" t="s">
        <v>439</v>
      </c>
      <c r="BE52" t="s">
        <v>439</v>
      </c>
      <c r="BF52">
        <v>0</v>
      </c>
      <c r="BG52">
        <v>0</v>
      </c>
      <c r="BH52" t="e">
        <f t="shared" si="30"/>
        <v>#DIV/0!</v>
      </c>
      <c r="BI52">
        <v>0</v>
      </c>
      <c r="BJ52" t="s">
        <v>439</v>
      </c>
      <c r="BK52" t="s">
        <v>439</v>
      </c>
      <c r="BL52">
        <v>0</v>
      </c>
      <c r="BM52">
        <v>0</v>
      </c>
      <c r="BN52" t="e">
        <f t="shared" si="31"/>
        <v>#DIV/0!</v>
      </c>
      <c r="BO52">
        <v>0.5</v>
      </c>
      <c r="BP52">
        <f t="shared" si="32"/>
        <v>1176.3602999623176</v>
      </c>
      <c r="BQ52">
        <f t="shared" si="33"/>
        <v>3.4990704020603256</v>
      </c>
      <c r="BR52" t="e">
        <f t="shared" si="34"/>
        <v>#DIV/0!</v>
      </c>
      <c r="BS52">
        <f t="shared" si="35"/>
        <v>2.9744886852883521E-3</v>
      </c>
      <c r="BT52" t="e">
        <f t="shared" si="36"/>
        <v>#DIV/0!</v>
      </c>
      <c r="BU52" t="e">
        <f t="shared" si="37"/>
        <v>#DIV/0!</v>
      </c>
      <c r="BV52" t="s">
        <v>439</v>
      </c>
      <c r="BW52">
        <v>0</v>
      </c>
      <c r="BX52" t="e">
        <f t="shared" si="38"/>
        <v>#DIV/0!</v>
      </c>
      <c r="BY52" t="e">
        <f t="shared" si="39"/>
        <v>#DIV/0!</v>
      </c>
      <c r="BZ52" t="e">
        <f t="shared" si="40"/>
        <v>#DIV/0!</v>
      </c>
      <c r="CA52" t="e">
        <f t="shared" si="41"/>
        <v>#DIV/0!</v>
      </c>
      <c r="CB52" t="e">
        <f t="shared" si="42"/>
        <v>#DIV/0!</v>
      </c>
      <c r="CC52" t="e">
        <f t="shared" si="43"/>
        <v>#DIV/0!</v>
      </c>
      <c r="CD52" t="e">
        <f t="shared" si="44"/>
        <v>#DIV/0!</v>
      </c>
      <c r="CE52" t="e">
        <f t="shared" si="45"/>
        <v>#DIV/0!</v>
      </c>
      <c r="DN52">
        <f t="shared" si="46"/>
        <v>1400.08</v>
      </c>
      <c r="DO52">
        <f t="shared" si="47"/>
        <v>1176.3602999623176</v>
      </c>
      <c r="DP52">
        <f t="shared" si="48"/>
        <v>0.8402093451533611</v>
      </c>
      <c r="DQ52">
        <f t="shared" si="49"/>
        <v>0.19041869030672229</v>
      </c>
      <c r="DR52">
        <v>6</v>
      </c>
      <c r="DS52">
        <v>0.5</v>
      </c>
      <c r="DT52" t="s">
        <v>440</v>
      </c>
      <c r="DU52">
        <v>2</v>
      </c>
      <c r="DV52" t="b">
        <v>1</v>
      </c>
      <c r="DW52">
        <v>1707858814.5</v>
      </c>
      <c r="DX52">
        <v>397.202</v>
      </c>
      <c r="DY52">
        <v>400.017</v>
      </c>
      <c r="DZ52">
        <v>19.298500000000001</v>
      </c>
      <c r="EA52">
        <v>19.135999999999999</v>
      </c>
      <c r="EB52">
        <v>399.28699999999998</v>
      </c>
      <c r="EC52">
        <v>19.122699999999998</v>
      </c>
      <c r="ED52">
        <v>699.93200000000002</v>
      </c>
      <c r="EE52">
        <v>101.874</v>
      </c>
      <c r="EF52">
        <v>8.7550299999999998E-2</v>
      </c>
      <c r="EG52">
        <v>28.563099999999999</v>
      </c>
      <c r="EH52">
        <v>29.052199999999999</v>
      </c>
      <c r="EI52">
        <v>999.9</v>
      </c>
      <c r="EJ52">
        <v>0</v>
      </c>
      <c r="EK52">
        <v>0</v>
      </c>
      <c r="EL52">
        <v>10009.5</v>
      </c>
      <c r="EM52">
        <v>0</v>
      </c>
      <c r="EN52">
        <v>1.91117E-3</v>
      </c>
      <c r="EO52">
        <v>-2.8148499999999999</v>
      </c>
      <c r="EP52">
        <v>405.01799999999997</v>
      </c>
      <c r="EQ52">
        <v>407.82100000000003</v>
      </c>
      <c r="ER52">
        <v>0.162493</v>
      </c>
      <c r="ES52">
        <v>400.017</v>
      </c>
      <c r="ET52">
        <v>19.135999999999999</v>
      </c>
      <c r="EU52">
        <v>1.966</v>
      </c>
      <c r="EV52">
        <v>1.9494499999999999</v>
      </c>
      <c r="EW52">
        <v>17.173200000000001</v>
      </c>
      <c r="EX52">
        <v>17.0396</v>
      </c>
      <c r="EY52">
        <v>1400.08</v>
      </c>
      <c r="EZ52">
        <v>0.99299400000000004</v>
      </c>
      <c r="FA52">
        <v>7.0058200000000003E-3</v>
      </c>
      <c r="FB52">
        <v>0</v>
      </c>
      <c r="FC52">
        <v>482.98500000000001</v>
      </c>
      <c r="FD52">
        <v>5.0001800000000003</v>
      </c>
      <c r="FE52">
        <v>8512.85</v>
      </c>
      <c r="FF52">
        <v>12010.4</v>
      </c>
      <c r="FG52">
        <v>35.936999999999998</v>
      </c>
      <c r="FH52">
        <v>38.061999999999998</v>
      </c>
      <c r="FI52">
        <v>36.811999999999998</v>
      </c>
      <c r="FJ52">
        <v>37.436999999999998</v>
      </c>
      <c r="FK52">
        <v>37.375</v>
      </c>
      <c r="FL52">
        <v>1385.31</v>
      </c>
      <c r="FM52">
        <v>9.77</v>
      </c>
      <c r="FN52">
        <v>0</v>
      </c>
      <c r="FO52">
        <v>1685753224.5999999</v>
      </c>
      <c r="FP52">
        <v>0</v>
      </c>
      <c r="FQ52">
        <v>481.75084615384611</v>
      </c>
      <c r="FR52">
        <v>10.49914530665785</v>
      </c>
      <c r="FS52">
        <v>77.557606767991089</v>
      </c>
      <c r="FT52">
        <v>8503.2499999999982</v>
      </c>
      <c r="FU52">
        <v>15</v>
      </c>
      <c r="FV52">
        <v>1707843540</v>
      </c>
      <c r="FW52" t="s">
        <v>487</v>
      </c>
      <c r="FX52">
        <v>1707843539.5</v>
      </c>
      <c r="FY52">
        <v>1707843540</v>
      </c>
      <c r="FZ52">
        <v>1</v>
      </c>
      <c r="GA52">
        <v>-0.112</v>
      </c>
      <c r="GB52">
        <v>6.8000000000000005E-2</v>
      </c>
      <c r="GC52">
        <v>-2.09</v>
      </c>
      <c r="GD52">
        <v>0.03</v>
      </c>
      <c r="GE52">
        <v>400</v>
      </c>
      <c r="GF52">
        <v>11</v>
      </c>
      <c r="GG52">
        <v>0.28000000000000003</v>
      </c>
      <c r="GH52">
        <v>0.05</v>
      </c>
      <c r="GI52">
        <v>2.9405305709348508</v>
      </c>
      <c r="GJ52">
        <v>8.2983574115648615</v>
      </c>
      <c r="GK52">
        <v>1.835410544196957</v>
      </c>
      <c r="GL52">
        <v>0</v>
      </c>
      <c r="GM52">
        <v>1.471065411274659E-2</v>
      </c>
      <c r="GN52">
        <v>0.15314109044986621</v>
      </c>
      <c r="GO52">
        <v>6.3169613443973469E-2</v>
      </c>
      <c r="GP52">
        <v>0</v>
      </c>
      <c r="GQ52">
        <v>0</v>
      </c>
      <c r="GR52">
        <v>2</v>
      </c>
      <c r="GS52" t="s">
        <v>442</v>
      </c>
      <c r="GT52">
        <v>3.36822</v>
      </c>
      <c r="GU52">
        <v>2.7818399999999999</v>
      </c>
      <c r="GV52">
        <v>9.6356200000000003E-2</v>
      </c>
      <c r="GW52">
        <v>9.6230499999999997E-2</v>
      </c>
      <c r="GX52">
        <v>9.9202399999999996E-2</v>
      </c>
      <c r="GY52">
        <v>9.8060700000000001E-2</v>
      </c>
      <c r="GZ52">
        <v>21241.4</v>
      </c>
      <c r="HA52">
        <v>21842.6</v>
      </c>
      <c r="HB52">
        <v>24968.7</v>
      </c>
      <c r="HC52">
        <v>25583.3</v>
      </c>
      <c r="HD52">
        <v>34203.300000000003</v>
      </c>
      <c r="HE52">
        <v>34494.1</v>
      </c>
      <c r="HF52">
        <v>41756.6</v>
      </c>
      <c r="HG52">
        <v>41396.699999999997</v>
      </c>
      <c r="HH52">
        <v>2.4098799999999998</v>
      </c>
      <c r="HI52">
        <v>2.2942999999999998</v>
      </c>
      <c r="HJ52">
        <v>7.7637999999999999E-2</v>
      </c>
      <c r="HK52">
        <v>0</v>
      </c>
      <c r="HL52">
        <v>27.785499999999999</v>
      </c>
      <c r="HM52">
        <v>999.9</v>
      </c>
      <c r="HN52">
        <v>42.1</v>
      </c>
      <c r="HO52">
        <v>35.299999999999997</v>
      </c>
      <c r="HP52">
        <v>23.734400000000001</v>
      </c>
      <c r="HQ52">
        <v>61.093800000000002</v>
      </c>
      <c r="HR52">
        <v>10.036099999999999</v>
      </c>
      <c r="HS52">
        <v>2</v>
      </c>
      <c r="HT52">
        <v>-4.7630100000000002E-2</v>
      </c>
      <c r="HU52">
        <v>0</v>
      </c>
      <c r="HV52">
        <v>20.366099999999999</v>
      </c>
      <c r="HW52">
        <v>5.2024299999999997</v>
      </c>
      <c r="HX52">
        <v>11.9201</v>
      </c>
      <c r="HY52">
        <v>4.9905600000000003</v>
      </c>
      <c r="HZ52">
        <v>3.28152</v>
      </c>
      <c r="IA52">
        <v>9999</v>
      </c>
      <c r="IB52">
        <v>9999</v>
      </c>
      <c r="IC52">
        <v>9999</v>
      </c>
      <c r="ID52">
        <v>154.6</v>
      </c>
      <c r="IE52">
        <v>4.9721200000000003</v>
      </c>
      <c r="IF52">
        <v>1.8591299999999999</v>
      </c>
      <c r="IG52">
        <v>1.8681300000000001</v>
      </c>
      <c r="IH52">
        <v>1.86355</v>
      </c>
      <c r="II52">
        <v>1.86544</v>
      </c>
      <c r="IJ52">
        <v>1.8617300000000001</v>
      </c>
      <c r="IK52">
        <v>1.8637900000000001</v>
      </c>
      <c r="IL52">
        <v>1.8616999999999999</v>
      </c>
      <c r="IM52">
        <v>0</v>
      </c>
      <c r="IN52">
        <v>0</v>
      </c>
      <c r="IO52">
        <v>0</v>
      </c>
      <c r="IP52">
        <v>0</v>
      </c>
      <c r="IQ52" t="s">
        <v>443</v>
      </c>
      <c r="IR52" t="s">
        <v>444</v>
      </c>
      <c r="IS52" t="s">
        <v>445</v>
      </c>
      <c r="IT52" t="s">
        <v>445</v>
      </c>
      <c r="IU52" t="s">
        <v>445</v>
      </c>
      <c r="IV52" t="s">
        <v>445</v>
      </c>
      <c r="IW52">
        <v>0</v>
      </c>
      <c r="IX52">
        <v>100</v>
      </c>
      <c r="IY52">
        <v>100</v>
      </c>
      <c r="IZ52">
        <v>-2.085</v>
      </c>
      <c r="JA52">
        <v>0.17580000000000001</v>
      </c>
      <c r="JB52">
        <v>-1.252214354925264</v>
      </c>
      <c r="JC52">
        <v>-2.4932477295996069E-3</v>
      </c>
      <c r="JD52">
        <v>1.159696634280317E-6</v>
      </c>
      <c r="JE52">
        <v>-3.5013845820821591E-10</v>
      </c>
      <c r="JF52">
        <v>-1.8539783221661419E-2</v>
      </c>
      <c r="JG52">
        <v>-7.5935071553627593E-3</v>
      </c>
      <c r="JH52">
        <v>1.367325239740887E-3</v>
      </c>
      <c r="JI52">
        <v>-2.2944115828177239E-5</v>
      </c>
      <c r="JJ52">
        <v>2</v>
      </c>
      <c r="JK52">
        <v>2118</v>
      </c>
      <c r="JL52">
        <v>1</v>
      </c>
      <c r="JM52">
        <v>27</v>
      </c>
      <c r="JN52">
        <v>254.6</v>
      </c>
      <c r="JO52">
        <v>254.6</v>
      </c>
      <c r="JP52">
        <v>1.2854000000000001</v>
      </c>
      <c r="JQ52">
        <v>2.5805699999999998</v>
      </c>
      <c r="JR52">
        <v>2.19604</v>
      </c>
      <c r="JS52">
        <v>2.6940900000000001</v>
      </c>
      <c r="JT52">
        <v>2.1496599999999999</v>
      </c>
      <c r="JU52">
        <v>2.4169900000000002</v>
      </c>
      <c r="JV52">
        <v>41.118699999999997</v>
      </c>
      <c r="JW52">
        <v>13.921900000000001</v>
      </c>
      <c r="JX52">
        <v>18</v>
      </c>
      <c r="JY52">
        <v>723.07100000000003</v>
      </c>
      <c r="JZ52">
        <v>704.49699999999996</v>
      </c>
      <c r="KA52">
        <v>27.668800000000001</v>
      </c>
      <c r="KB52">
        <v>26.9377</v>
      </c>
      <c r="KC52">
        <v>30.0001</v>
      </c>
      <c r="KD52">
        <v>26.871400000000001</v>
      </c>
      <c r="KE52">
        <v>26.858799999999999</v>
      </c>
      <c r="KF52">
        <v>25.813199999999998</v>
      </c>
      <c r="KG52">
        <v>25.956299999999999</v>
      </c>
      <c r="KH52">
        <v>54.569099999999999</v>
      </c>
      <c r="KI52">
        <v>-999.9</v>
      </c>
      <c r="KJ52">
        <v>400</v>
      </c>
      <c r="KK52">
        <v>18.9255</v>
      </c>
      <c r="KL52">
        <v>101.212</v>
      </c>
      <c r="KM52">
        <v>101.22799999999999</v>
      </c>
    </row>
    <row r="53" spans="1:299" x14ac:dyDescent="0.2">
      <c r="A53">
        <v>37</v>
      </c>
      <c r="B53" t="s">
        <v>538</v>
      </c>
      <c r="C53">
        <v>1</v>
      </c>
      <c r="D53">
        <v>1707861758.5999999</v>
      </c>
      <c r="E53">
        <v>0</v>
      </c>
      <c r="F53" t="s">
        <v>519</v>
      </c>
      <c r="G53" t="s">
        <v>520</v>
      </c>
      <c r="H53" t="s">
        <v>436</v>
      </c>
      <c r="I53" t="s">
        <v>437</v>
      </c>
      <c r="J53" t="s">
        <v>438</v>
      </c>
      <c r="M53" t="s">
        <v>438</v>
      </c>
      <c r="O53">
        <v>1707861758.5999999</v>
      </c>
      <c r="P53">
        <f t="shared" si="0"/>
        <v>7.7069488794061745E-4</v>
      </c>
      <c r="Q53">
        <f t="shared" si="1"/>
        <v>0.77069488794061747</v>
      </c>
      <c r="R53">
        <f t="shared" si="2"/>
        <v>4.7898097431887203</v>
      </c>
      <c r="S53">
        <f t="shared" si="3"/>
        <v>395.63600000000002</v>
      </c>
      <c r="T53">
        <f t="shared" si="4"/>
        <v>193.63589537255351</v>
      </c>
      <c r="U53">
        <f t="shared" si="5"/>
        <v>19.739670548062783</v>
      </c>
      <c r="V53">
        <f t="shared" si="6"/>
        <v>40.332007048215601</v>
      </c>
      <c r="W53">
        <f t="shared" si="7"/>
        <v>3.9992739748032274E-2</v>
      </c>
      <c r="X53">
        <f t="shared" si="8"/>
        <v>2.9623781471625588</v>
      </c>
      <c r="Y53">
        <f t="shared" si="9"/>
        <v>3.9695198601788405E-2</v>
      </c>
      <c r="Z53">
        <f t="shared" si="10"/>
        <v>2.4836047343276532E-2</v>
      </c>
      <c r="AA53">
        <f t="shared" si="11"/>
        <v>304.57739993547079</v>
      </c>
      <c r="AB53">
        <f t="shared" si="12"/>
        <v>29.327527591929144</v>
      </c>
      <c r="AC53">
        <f t="shared" si="13"/>
        <v>27.930599999999998</v>
      </c>
      <c r="AD53">
        <f t="shared" si="14"/>
        <v>3.7795136560844678</v>
      </c>
      <c r="AE53">
        <f t="shared" si="15"/>
        <v>49.602306746717979</v>
      </c>
      <c r="AF53">
        <f t="shared" si="16"/>
        <v>1.8549709830537302</v>
      </c>
      <c r="AG53">
        <f t="shared" si="17"/>
        <v>3.7396869313471344</v>
      </c>
      <c r="AH53">
        <f t="shared" si="18"/>
        <v>1.9245426730307376</v>
      </c>
      <c r="AI53">
        <f t="shared" si="19"/>
        <v>-33.987644558181231</v>
      </c>
      <c r="AJ53">
        <f t="shared" si="20"/>
        <v>-28.986953116573723</v>
      </c>
      <c r="AK53">
        <f t="shared" si="21"/>
        <v>-2.1295086595864721</v>
      </c>
      <c r="AL53">
        <f t="shared" si="22"/>
        <v>239.4732936011294</v>
      </c>
      <c r="AM53">
        <f t="shared" si="23"/>
        <v>4.7931458169307541</v>
      </c>
      <c r="AN53">
        <f t="shared" si="24"/>
        <v>0.76410686355463309</v>
      </c>
      <c r="AO53">
        <f t="shared" si="25"/>
        <v>4.7898097431887203</v>
      </c>
      <c r="AP53">
        <v>407.14759712785411</v>
      </c>
      <c r="AQ53">
        <v>402.96741818181818</v>
      </c>
      <c r="AR53">
        <v>2.1204429691578259E-4</v>
      </c>
      <c r="AS53">
        <v>67.029238297977344</v>
      </c>
      <c r="AT53">
        <f t="shared" si="26"/>
        <v>0.77069488794061747</v>
      </c>
      <c r="AU53">
        <v>17.553170599085039</v>
      </c>
      <c r="AV53">
        <v>18.19471636363637</v>
      </c>
      <c r="AW53">
        <v>1.551872200657218E-3</v>
      </c>
      <c r="AX53">
        <v>78.648376078285565</v>
      </c>
      <c r="AY53">
        <v>98</v>
      </c>
      <c r="AZ53">
        <v>14</v>
      </c>
      <c r="BA53">
        <f t="shared" si="27"/>
        <v>1</v>
      </c>
      <c r="BB53">
        <f t="shared" si="28"/>
        <v>0</v>
      </c>
      <c r="BC53">
        <f t="shared" si="29"/>
        <v>53738.358658497884</v>
      </c>
      <c r="BD53" t="s">
        <v>439</v>
      </c>
      <c r="BE53" t="s">
        <v>439</v>
      </c>
      <c r="BF53">
        <v>0</v>
      </c>
      <c r="BG53">
        <v>0</v>
      </c>
      <c r="BH53" t="e">
        <f t="shared" si="30"/>
        <v>#DIV/0!</v>
      </c>
      <c r="BI53">
        <v>0</v>
      </c>
      <c r="BJ53" t="s">
        <v>439</v>
      </c>
      <c r="BK53" t="s">
        <v>439</v>
      </c>
      <c r="BL53">
        <v>0</v>
      </c>
      <c r="BM53">
        <v>0</v>
      </c>
      <c r="BN53" t="e">
        <f t="shared" si="31"/>
        <v>#DIV/0!</v>
      </c>
      <c r="BO53">
        <v>0.5</v>
      </c>
      <c r="BP53">
        <f t="shared" si="32"/>
        <v>1344.3035999677354</v>
      </c>
      <c r="BQ53">
        <f t="shared" si="33"/>
        <v>4.7898097431887203</v>
      </c>
      <c r="BR53" t="e">
        <f t="shared" si="34"/>
        <v>#DIV/0!</v>
      </c>
      <c r="BS53">
        <f t="shared" si="35"/>
        <v>3.563041669533341E-3</v>
      </c>
      <c r="BT53" t="e">
        <f t="shared" si="36"/>
        <v>#DIV/0!</v>
      </c>
      <c r="BU53" t="e">
        <f t="shared" si="37"/>
        <v>#DIV/0!</v>
      </c>
      <c r="BV53" t="s">
        <v>439</v>
      </c>
      <c r="BW53">
        <v>0</v>
      </c>
      <c r="BX53" t="e">
        <f t="shared" si="38"/>
        <v>#DIV/0!</v>
      </c>
      <c r="BY53" t="e">
        <f t="shared" si="39"/>
        <v>#DIV/0!</v>
      </c>
      <c r="BZ53" t="e">
        <f t="shared" si="40"/>
        <v>#DIV/0!</v>
      </c>
      <c r="CA53" t="e">
        <f t="shared" si="41"/>
        <v>#DIV/0!</v>
      </c>
      <c r="CB53" t="e">
        <f t="shared" si="42"/>
        <v>#DIV/0!</v>
      </c>
      <c r="CC53" t="e">
        <f t="shared" si="43"/>
        <v>#DIV/0!</v>
      </c>
      <c r="CD53" t="e">
        <f t="shared" si="44"/>
        <v>#DIV/0!</v>
      </c>
      <c r="CE53" t="e">
        <f t="shared" si="45"/>
        <v>#DIV/0!</v>
      </c>
      <c r="DN53">
        <f t="shared" si="46"/>
        <v>1600.02</v>
      </c>
      <c r="DO53">
        <f t="shared" si="47"/>
        <v>1344.3035999677354</v>
      </c>
      <c r="DP53">
        <f t="shared" si="48"/>
        <v>0.84017924773923791</v>
      </c>
      <c r="DQ53">
        <f t="shared" si="49"/>
        <v>0.19035849547847578</v>
      </c>
      <c r="DR53">
        <v>6</v>
      </c>
      <c r="DS53">
        <v>0.5</v>
      </c>
      <c r="DT53" t="s">
        <v>440</v>
      </c>
      <c r="DU53">
        <v>2</v>
      </c>
      <c r="DV53" t="b">
        <v>1</v>
      </c>
      <c r="DW53">
        <v>1707861758.5999999</v>
      </c>
      <c r="DX53">
        <v>395.63600000000002</v>
      </c>
      <c r="DY53">
        <v>400.00400000000002</v>
      </c>
      <c r="DZ53">
        <v>18.196300000000001</v>
      </c>
      <c r="EA53">
        <v>17.5532</v>
      </c>
      <c r="EB53">
        <v>397.71800000000002</v>
      </c>
      <c r="EC53">
        <v>18.041499999999999</v>
      </c>
      <c r="ED53">
        <v>699.92499999999995</v>
      </c>
      <c r="EE53">
        <v>101.858</v>
      </c>
      <c r="EF53">
        <v>8.4207099999999993E-2</v>
      </c>
      <c r="EG53">
        <v>27.749099999999999</v>
      </c>
      <c r="EH53">
        <v>27.930599999999998</v>
      </c>
      <c r="EI53">
        <v>999.9</v>
      </c>
      <c r="EJ53">
        <v>0</v>
      </c>
      <c r="EK53">
        <v>0</v>
      </c>
      <c r="EL53">
        <v>10002.5</v>
      </c>
      <c r="EM53">
        <v>0</v>
      </c>
      <c r="EN53">
        <v>1.91117E-3</v>
      </c>
      <c r="EO53">
        <v>-4.3681900000000002</v>
      </c>
      <c r="EP53">
        <v>402.96800000000002</v>
      </c>
      <c r="EQ53">
        <v>407.15100000000001</v>
      </c>
      <c r="ER53">
        <v>0.64307199999999998</v>
      </c>
      <c r="ES53">
        <v>400.00400000000002</v>
      </c>
      <c r="ET53">
        <v>17.5532</v>
      </c>
      <c r="EU53">
        <v>1.8534299999999999</v>
      </c>
      <c r="EV53">
        <v>1.78793</v>
      </c>
      <c r="EW53">
        <v>16.244800000000001</v>
      </c>
      <c r="EX53">
        <v>15.6816</v>
      </c>
      <c r="EY53">
        <v>1600.02</v>
      </c>
      <c r="EZ53">
        <v>0.994008</v>
      </c>
      <c r="FA53">
        <v>5.9915200000000002E-3</v>
      </c>
      <c r="FB53">
        <v>0</v>
      </c>
      <c r="FC53">
        <v>344.928</v>
      </c>
      <c r="FD53">
        <v>5.0001800000000003</v>
      </c>
      <c r="FE53">
        <v>7403.39</v>
      </c>
      <c r="FF53">
        <v>13735.8</v>
      </c>
      <c r="FG53">
        <v>36.5</v>
      </c>
      <c r="FH53">
        <v>38.375</v>
      </c>
      <c r="FI53">
        <v>37.25</v>
      </c>
      <c r="FJ53">
        <v>37.436999999999998</v>
      </c>
      <c r="FK53">
        <v>37.625</v>
      </c>
      <c r="FL53">
        <v>1585.46</v>
      </c>
      <c r="FM53">
        <v>9.56</v>
      </c>
      <c r="FN53">
        <v>0</v>
      </c>
      <c r="FO53">
        <v>1685756168.8</v>
      </c>
      <c r="FP53">
        <v>0</v>
      </c>
      <c r="FQ53">
        <v>345.67615999999992</v>
      </c>
      <c r="FR53">
        <v>-4.0897692293570396</v>
      </c>
      <c r="FS53">
        <v>-73.975384776517004</v>
      </c>
      <c r="FT53">
        <v>7413.0256000000008</v>
      </c>
      <c r="FU53">
        <v>15</v>
      </c>
      <c r="FV53">
        <v>1707843540</v>
      </c>
      <c r="FW53" t="s">
        <v>487</v>
      </c>
      <c r="FX53">
        <v>1707843539.5</v>
      </c>
      <c r="FY53">
        <v>1707843540</v>
      </c>
      <c r="FZ53">
        <v>1</v>
      </c>
      <c r="GA53">
        <v>-0.112</v>
      </c>
      <c r="GB53">
        <v>6.8000000000000005E-2</v>
      </c>
      <c r="GC53">
        <v>-2.09</v>
      </c>
      <c r="GD53">
        <v>0.03</v>
      </c>
      <c r="GE53">
        <v>400</v>
      </c>
      <c r="GF53">
        <v>11</v>
      </c>
      <c r="GG53">
        <v>0.28000000000000003</v>
      </c>
      <c r="GH53">
        <v>0.05</v>
      </c>
      <c r="GI53">
        <v>4.7778816678272262</v>
      </c>
      <c r="GJ53">
        <v>5.26813171023265E-2</v>
      </c>
      <c r="GK53">
        <v>2.0672589623196031E-2</v>
      </c>
      <c r="GL53">
        <v>1</v>
      </c>
      <c r="GM53">
        <v>3.9925412333673957E-2</v>
      </c>
      <c r="GN53">
        <v>2.323606094665991E-3</v>
      </c>
      <c r="GO53">
        <v>4.8746669450550089E-4</v>
      </c>
      <c r="GP53">
        <v>1</v>
      </c>
      <c r="GQ53">
        <v>2</v>
      </c>
      <c r="GR53">
        <v>2</v>
      </c>
      <c r="GS53" t="s">
        <v>512</v>
      </c>
      <c r="GT53">
        <v>3.3675000000000002</v>
      </c>
      <c r="GU53">
        <v>2.7784399999999998</v>
      </c>
      <c r="GV53">
        <v>9.5729700000000001E-2</v>
      </c>
      <c r="GW53">
        <v>9.5871600000000001E-2</v>
      </c>
      <c r="GX53">
        <v>9.4805299999999995E-2</v>
      </c>
      <c r="GY53">
        <v>9.1853799999999999E-2</v>
      </c>
      <c r="GZ53">
        <v>21201.3</v>
      </c>
      <c r="HA53">
        <v>21783.3</v>
      </c>
      <c r="HB53">
        <v>24909.5</v>
      </c>
      <c r="HC53">
        <v>25509.1</v>
      </c>
      <c r="HD53">
        <v>34284.800000000003</v>
      </c>
      <c r="HE53">
        <v>34630.400000000001</v>
      </c>
      <c r="HF53">
        <v>41648.400000000001</v>
      </c>
      <c r="HG53">
        <v>41275.599999999999</v>
      </c>
      <c r="HH53">
        <v>2.2465000000000002</v>
      </c>
      <c r="HI53">
        <v>2.29304</v>
      </c>
      <c r="HJ53">
        <v>0.10495500000000001</v>
      </c>
      <c r="HK53">
        <v>0</v>
      </c>
      <c r="HL53">
        <v>26.214400000000001</v>
      </c>
      <c r="HM53">
        <v>999.9</v>
      </c>
      <c r="HN53">
        <v>44.2</v>
      </c>
      <c r="HO53">
        <v>32.9</v>
      </c>
      <c r="HP53">
        <v>21.8005</v>
      </c>
      <c r="HQ53">
        <v>61.05</v>
      </c>
      <c r="HR53">
        <v>6.6706700000000003</v>
      </c>
      <c r="HS53">
        <v>2</v>
      </c>
      <c r="HT53">
        <v>4.7046699999999997E-2</v>
      </c>
      <c r="HU53">
        <v>0</v>
      </c>
      <c r="HV53">
        <v>20.3658</v>
      </c>
      <c r="HW53">
        <v>5.2013600000000002</v>
      </c>
      <c r="HX53">
        <v>11.923500000000001</v>
      </c>
      <c r="HY53">
        <v>4.9901999999999997</v>
      </c>
      <c r="HZ53">
        <v>3.28146</v>
      </c>
      <c r="IA53">
        <v>9999</v>
      </c>
      <c r="IB53">
        <v>9999</v>
      </c>
      <c r="IC53">
        <v>9999</v>
      </c>
      <c r="ID53">
        <v>155.4</v>
      </c>
      <c r="IE53">
        <v>4.9719800000000003</v>
      </c>
      <c r="IF53">
        <v>1.8585400000000001</v>
      </c>
      <c r="IG53">
        <v>1.8676900000000001</v>
      </c>
      <c r="IH53">
        <v>1.8629500000000001</v>
      </c>
      <c r="II53">
        <v>1.8650800000000001</v>
      </c>
      <c r="IJ53">
        <v>1.8613</v>
      </c>
      <c r="IK53">
        <v>1.86351</v>
      </c>
      <c r="IL53">
        <v>1.8612599999999999</v>
      </c>
      <c r="IM53">
        <v>0</v>
      </c>
      <c r="IN53">
        <v>0</v>
      </c>
      <c r="IO53">
        <v>0</v>
      </c>
      <c r="IP53">
        <v>0</v>
      </c>
      <c r="IQ53" t="s">
        <v>443</v>
      </c>
      <c r="IR53" t="s">
        <v>444</v>
      </c>
      <c r="IS53" t="s">
        <v>445</v>
      </c>
      <c r="IT53" t="s">
        <v>445</v>
      </c>
      <c r="IU53" t="s">
        <v>445</v>
      </c>
      <c r="IV53" t="s">
        <v>445</v>
      </c>
      <c r="IW53">
        <v>0</v>
      </c>
      <c r="IX53">
        <v>100</v>
      </c>
      <c r="IY53">
        <v>100</v>
      </c>
      <c r="IZ53">
        <v>-2.0819999999999999</v>
      </c>
      <c r="JA53">
        <v>0.15479999999999999</v>
      </c>
      <c r="JB53">
        <v>-1.252214354925264</v>
      </c>
      <c r="JC53">
        <v>-2.4932477295996069E-3</v>
      </c>
      <c r="JD53">
        <v>1.159696634280317E-6</v>
      </c>
      <c r="JE53">
        <v>-3.5013845820821591E-10</v>
      </c>
      <c r="JF53">
        <v>-1.8539783221661419E-2</v>
      </c>
      <c r="JG53">
        <v>-7.5935071553627593E-3</v>
      </c>
      <c r="JH53">
        <v>1.367325239740887E-3</v>
      </c>
      <c r="JI53">
        <v>-2.2944115828177239E-5</v>
      </c>
      <c r="JJ53">
        <v>2</v>
      </c>
      <c r="JK53">
        <v>2118</v>
      </c>
      <c r="JL53">
        <v>1</v>
      </c>
      <c r="JM53">
        <v>27</v>
      </c>
      <c r="JN53">
        <v>303.7</v>
      </c>
      <c r="JO53">
        <v>303.60000000000002</v>
      </c>
      <c r="JP53">
        <v>1.27563</v>
      </c>
      <c r="JQ53">
        <v>2.52441</v>
      </c>
      <c r="JR53">
        <v>2.19604</v>
      </c>
      <c r="JS53">
        <v>2.68066</v>
      </c>
      <c r="JT53">
        <v>2.1496599999999999</v>
      </c>
      <c r="JU53">
        <v>2.4450699999999999</v>
      </c>
      <c r="JV53">
        <v>34.829599999999999</v>
      </c>
      <c r="JW53">
        <v>13.738</v>
      </c>
      <c r="JX53">
        <v>18</v>
      </c>
      <c r="JY53">
        <v>615.37900000000002</v>
      </c>
      <c r="JZ53">
        <v>719.90700000000004</v>
      </c>
      <c r="KA53">
        <v>27.1282</v>
      </c>
      <c r="KB53">
        <v>27.996500000000001</v>
      </c>
      <c r="KC53">
        <v>30.0001</v>
      </c>
      <c r="KD53">
        <v>28.143999999999998</v>
      </c>
      <c r="KE53">
        <v>28.1968</v>
      </c>
      <c r="KF53">
        <v>25.606400000000001</v>
      </c>
      <c r="KG53">
        <v>26.927600000000002</v>
      </c>
      <c r="KH53">
        <v>51.2044</v>
      </c>
      <c r="KI53">
        <v>-999.9</v>
      </c>
      <c r="KJ53">
        <v>400</v>
      </c>
      <c r="KK53">
        <v>17.663</v>
      </c>
      <c r="KL53">
        <v>100.958</v>
      </c>
      <c r="KM53">
        <v>100.93300000000001</v>
      </c>
    </row>
    <row r="54" spans="1:299" x14ac:dyDescent="0.2">
      <c r="A54">
        <v>38</v>
      </c>
      <c r="B54" t="s">
        <v>538</v>
      </c>
      <c r="C54">
        <v>2</v>
      </c>
      <c r="D54">
        <v>1707861892.0999999</v>
      </c>
      <c r="E54">
        <v>133.5</v>
      </c>
      <c r="F54" t="s">
        <v>521</v>
      </c>
      <c r="G54" t="s">
        <v>522</v>
      </c>
      <c r="H54" t="s">
        <v>436</v>
      </c>
      <c r="I54" t="s">
        <v>437</v>
      </c>
      <c r="J54" t="s">
        <v>438</v>
      </c>
      <c r="M54" t="s">
        <v>438</v>
      </c>
      <c r="O54">
        <v>1707861892.0999999</v>
      </c>
      <c r="P54">
        <f t="shared" si="0"/>
        <v>5.7825321132674433E-4</v>
      </c>
      <c r="Q54">
        <f t="shared" si="1"/>
        <v>0.57825321132674434</v>
      </c>
      <c r="R54">
        <f t="shared" si="2"/>
        <v>4.3949321816063982</v>
      </c>
      <c r="S54">
        <f t="shared" si="3"/>
        <v>396.43799999999999</v>
      </c>
      <c r="T54">
        <f t="shared" si="4"/>
        <v>131.66110897130054</v>
      </c>
      <c r="U54">
        <f t="shared" si="5"/>
        <v>13.422123053312573</v>
      </c>
      <c r="V54">
        <f t="shared" si="6"/>
        <v>40.414665048651599</v>
      </c>
      <c r="W54">
        <f t="shared" si="7"/>
        <v>2.7602357704225363E-2</v>
      </c>
      <c r="X54">
        <f t="shared" si="8"/>
        <v>2.9590954871804365</v>
      </c>
      <c r="Y54">
        <f t="shared" si="9"/>
        <v>2.7460112489583112E-2</v>
      </c>
      <c r="Z54">
        <f t="shared" si="10"/>
        <v>1.7175289228485578E-2</v>
      </c>
      <c r="AA54">
        <f t="shared" si="11"/>
        <v>304.57799993540334</v>
      </c>
      <c r="AB54">
        <f t="shared" si="12"/>
        <v>30.141267503174198</v>
      </c>
      <c r="AC54">
        <f t="shared" si="13"/>
        <v>29.034199999999998</v>
      </c>
      <c r="AD54">
        <f t="shared" si="14"/>
        <v>4.0297387294345102</v>
      </c>
      <c r="AE54">
        <f t="shared" si="15"/>
        <v>49.771412410021611</v>
      </c>
      <c r="AF54">
        <f t="shared" si="16"/>
        <v>1.9459161998816004</v>
      </c>
      <c r="AG54">
        <f t="shared" si="17"/>
        <v>3.9097066079840337</v>
      </c>
      <c r="AH54">
        <f t="shared" si="18"/>
        <v>2.0838225295529096</v>
      </c>
      <c r="AI54">
        <f t="shared" si="19"/>
        <v>-25.500966619509423</v>
      </c>
      <c r="AJ54">
        <f t="shared" si="20"/>
        <v>-83.227195355571439</v>
      </c>
      <c r="AK54">
        <f t="shared" si="21"/>
        <v>-6.178178680027921</v>
      </c>
      <c r="AL54">
        <f t="shared" si="22"/>
        <v>189.67165928029453</v>
      </c>
      <c r="AM54">
        <f t="shared" si="23"/>
        <v>4.0187444452698822</v>
      </c>
      <c r="AN54">
        <f t="shared" si="24"/>
        <v>0.25877534376172484</v>
      </c>
      <c r="AO54">
        <f t="shared" si="25"/>
        <v>4.3949321816063982</v>
      </c>
      <c r="AP54">
        <v>407.65643568728751</v>
      </c>
      <c r="AQ54">
        <v>404.18850909090912</v>
      </c>
      <c r="AR54">
        <v>-9.5665419249745323E-2</v>
      </c>
      <c r="AS54">
        <v>67.029322194075647</v>
      </c>
      <c r="AT54">
        <f t="shared" si="26"/>
        <v>0.57825321132674434</v>
      </c>
      <c r="AU54">
        <v>18.858331957249231</v>
      </c>
      <c r="AV54">
        <v>19.06689272727273</v>
      </c>
      <c r="AW54">
        <v>6.0851708389533993E-2</v>
      </c>
      <c r="AX54">
        <v>78.646363763308813</v>
      </c>
      <c r="AY54">
        <v>39</v>
      </c>
      <c r="AZ54">
        <v>6</v>
      </c>
      <c r="BA54">
        <f t="shared" si="27"/>
        <v>1</v>
      </c>
      <c r="BB54">
        <f t="shared" si="28"/>
        <v>0</v>
      </c>
      <c r="BC54">
        <f t="shared" si="29"/>
        <v>53506.666026586347</v>
      </c>
      <c r="BD54" t="s">
        <v>439</v>
      </c>
      <c r="BE54" t="s">
        <v>439</v>
      </c>
      <c r="BF54">
        <v>0</v>
      </c>
      <c r="BG54">
        <v>0</v>
      </c>
      <c r="BH54" t="e">
        <f t="shared" si="30"/>
        <v>#DIV/0!</v>
      </c>
      <c r="BI54">
        <v>0</v>
      </c>
      <c r="BJ54" t="s">
        <v>439</v>
      </c>
      <c r="BK54" t="s">
        <v>439</v>
      </c>
      <c r="BL54">
        <v>0</v>
      </c>
      <c r="BM54">
        <v>0</v>
      </c>
      <c r="BN54" t="e">
        <f t="shared" si="31"/>
        <v>#DIV/0!</v>
      </c>
      <c r="BO54">
        <v>0.5</v>
      </c>
      <c r="BP54">
        <f t="shared" si="32"/>
        <v>1344.3038999677019</v>
      </c>
      <c r="BQ54">
        <f t="shared" si="33"/>
        <v>4.3949321816063982</v>
      </c>
      <c r="BR54" t="e">
        <f t="shared" si="34"/>
        <v>#DIV/0!</v>
      </c>
      <c r="BS54">
        <f t="shared" si="35"/>
        <v>3.2692995845001942E-3</v>
      </c>
      <c r="BT54" t="e">
        <f t="shared" si="36"/>
        <v>#DIV/0!</v>
      </c>
      <c r="BU54" t="e">
        <f t="shared" si="37"/>
        <v>#DIV/0!</v>
      </c>
      <c r="BV54" t="s">
        <v>439</v>
      </c>
      <c r="BW54">
        <v>0</v>
      </c>
      <c r="BX54" t="e">
        <f t="shared" si="38"/>
        <v>#DIV/0!</v>
      </c>
      <c r="BY54" t="e">
        <f t="shared" si="39"/>
        <v>#DIV/0!</v>
      </c>
      <c r="BZ54" t="e">
        <f t="shared" si="40"/>
        <v>#DIV/0!</v>
      </c>
      <c r="CA54" t="e">
        <f t="shared" si="41"/>
        <v>#DIV/0!</v>
      </c>
      <c r="CB54" t="e">
        <f t="shared" si="42"/>
        <v>#DIV/0!</v>
      </c>
      <c r="CC54" t="e">
        <f t="shared" si="43"/>
        <v>#DIV/0!</v>
      </c>
      <c r="CD54" t="e">
        <f t="shared" si="44"/>
        <v>#DIV/0!</v>
      </c>
      <c r="CE54" t="e">
        <f t="shared" si="45"/>
        <v>#DIV/0!</v>
      </c>
      <c r="DN54">
        <f t="shared" si="46"/>
        <v>1600.02</v>
      </c>
      <c r="DO54">
        <f t="shared" si="47"/>
        <v>1344.3038999677019</v>
      </c>
      <c r="DP54">
        <f t="shared" si="48"/>
        <v>0.84017943523687322</v>
      </c>
      <c r="DQ54">
        <f t="shared" si="49"/>
        <v>0.19035887047374617</v>
      </c>
      <c r="DR54">
        <v>6</v>
      </c>
      <c r="DS54">
        <v>0.5</v>
      </c>
      <c r="DT54" t="s">
        <v>440</v>
      </c>
      <c r="DU54">
        <v>2</v>
      </c>
      <c r="DV54" t="b">
        <v>1</v>
      </c>
      <c r="DW54">
        <v>1707861892.0999999</v>
      </c>
      <c r="DX54">
        <v>396.43799999999999</v>
      </c>
      <c r="DY54">
        <v>399.971</v>
      </c>
      <c r="DZ54">
        <v>19.088000000000001</v>
      </c>
      <c r="EA54">
        <v>18.8704</v>
      </c>
      <c r="EB54">
        <v>398.52199999999999</v>
      </c>
      <c r="EC54">
        <v>18.9162</v>
      </c>
      <c r="ED54">
        <v>699.91499999999996</v>
      </c>
      <c r="EE54">
        <v>101.857</v>
      </c>
      <c r="EF54">
        <v>8.7478200000000006E-2</v>
      </c>
      <c r="EG54">
        <v>28.512499999999999</v>
      </c>
      <c r="EH54">
        <v>29.034199999999998</v>
      </c>
      <c r="EI54">
        <v>999.9</v>
      </c>
      <c r="EJ54">
        <v>0</v>
      </c>
      <c r="EK54">
        <v>0</v>
      </c>
      <c r="EL54">
        <v>9984</v>
      </c>
      <c r="EM54">
        <v>0</v>
      </c>
      <c r="EN54">
        <v>1.91117E-3</v>
      </c>
      <c r="EO54">
        <v>-3.5332300000000001</v>
      </c>
      <c r="EP54">
        <v>404.15199999999999</v>
      </c>
      <c r="EQ54">
        <v>407.66399999999999</v>
      </c>
      <c r="ER54">
        <v>0.21762999999999999</v>
      </c>
      <c r="ES54">
        <v>399.971</v>
      </c>
      <c r="ET54">
        <v>18.8704</v>
      </c>
      <c r="EU54">
        <v>1.94425</v>
      </c>
      <c r="EV54">
        <v>1.92208</v>
      </c>
      <c r="EW54">
        <v>16.997399999999999</v>
      </c>
      <c r="EX54">
        <v>16.816600000000001</v>
      </c>
      <c r="EY54">
        <v>1600.02</v>
      </c>
      <c r="EZ54">
        <v>0.99400200000000005</v>
      </c>
      <c r="FA54">
        <v>5.9975000000000002E-3</v>
      </c>
      <c r="FB54">
        <v>0</v>
      </c>
      <c r="FC54">
        <v>560.76800000000003</v>
      </c>
      <c r="FD54">
        <v>5.0001800000000003</v>
      </c>
      <c r="FE54">
        <v>11442.3</v>
      </c>
      <c r="FF54">
        <v>13735.7</v>
      </c>
      <c r="FG54">
        <v>36.875</v>
      </c>
      <c r="FH54">
        <v>38.811999999999998</v>
      </c>
      <c r="FI54">
        <v>37.5</v>
      </c>
      <c r="FJ54">
        <v>38.375</v>
      </c>
      <c r="FK54">
        <v>38.125</v>
      </c>
      <c r="FL54">
        <v>1585.45</v>
      </c>
      <c r="FM54">
        <v>9.57</v>
      </c>
      <c r="FN54">
        <v>0</v>
      </c>
      <c r="FO54">
        <v>1685756302.5999999</v>
      </c>
      <c r="FP54">
        <v>0</v>
      </c>
      <c r="FQ54">
        <v>565.04565384615387</v>
      </c>
      <c r="FR54">
        <v>-45.106290637491178</v>
      </c>
      <c r="FS54">
        <v>-637.73333180675672</v>
      </c>
      <c r="FT54">
        <v>11523.565384615389</v>
      </c>
      <c r="FU54">
        <v>15</v>
      </c>
      <c r="FV54">
        <v>1707843540</v>
      </c>
      <c r="FW54" t="s">
        <v>487</v>
      </c>
      <c r="FX54">
        <v>1707843539.5</v>
      </c>
      <c r="FY54">
        <v>1707843540</v>
      </c>
      <c r="FZ54">
        <v>1</v>
      </c>
      <c r="GA54">
        <v>-0.112</v>
      </c>
      <c r="GB54">
        <v>6.8000000000000005E-2</v>
      </c>
      <c r="GC54">
        <v>-2.09</v>
      </c>
      <c r="GD54">
        <v>0.03</v>
      </c>
      <c r="GE54">
        <v>400</v>
      </c>
      <c r="GF54">
        <v>11</v>
      </c>
      <c r="GG54">
        <v>0.28000000000000003</v>
      </c>
      <c r="GH54">
        <v>0.05</v>
      </c>
      <c r="GI54">
        <v>2.3835622718696041</v>
      </c>
      <c r="GJ54">
        <v>33.543580471272477</v>
      </c>
      <c r="GK54">
        <v>6.1505227666898454</v>
      </c>
      <c r="GL54">
        <v>0</v>
      </c>
      <c r="GM54">
        <v>-1.3322663062885079E-2</v>
      </c>
      <c r="GN54">
        <v>0.81061644226778773</v>
      </c>
      <c r="GO54">
        <v>0.1452612792790304</v>
      </c>
      <c r="GP54">
        <v>0</v>
      </c>
      <c r="GQ54">
        <v>0</v>
      </c>
      <c r="GR54">
        <v>2</v>
      </c>
      <c r="GS54" t="s">
        <v>442</v>
      </c>
      <c r="GT54">
        <v>3.3680300000000001</v>
      </c>
      <c r="GU54">
        <v>2.7815599999999998</v>
      </c>
      <c r="GV54">
        <v>9.5881800000000003E-2</v>
      </c>
      <c r="GW54">
        <v>9.5878500000000005E-2</v>
      </c>
      <c r="GX54">
        <v>9.8108699999999993E-2</v>
      </c>
      <c r="GY54">
        <v>9.6762100000000004E-2</v>
      </c>
      <c r="GZ54">
        <v>21196.9</v>
      </c>
      <c r="HA54">
        <v>21782.5</v>
      </c>
      <c r="HB54">
        <v>24908.799999999999</v>
      </c>
      <c r="HC54">
        <v>25508.7</v>
      </c>
      <c r="HD54">
        <v>34158.300000000003</v>
      </c>
      <c r="HE54">
        <v>34443.699999999997</v>
      </c>
      <c r="HF54">
        <v>41647.4</v>
      </c>
      <c r="HG54">
        <v>41276.199999999997</v>
      </c>
      <c r="HH54">
        <v>2.3431999999999999</v>
      </c>
      <c r="HI54">
        <v>2.2946</v>
      </c>
      <c r="HJ54">
        <v>0.110322</v>
      </c>
      <c r="HK54">
        <v>0</v>
      </c>
      <c r="HL54">
        <v>27.2333</v>
      </c>
      <c r="HM54">
        <v>999.9</v>
      </c>
      <c r="HN54">
        <v>44.6</v>
      </c>
      <c r="HO54">
        <v>32.799999999999997</v>
      </c>
      <c r="HP54">
        <v>21.872900000000001</v>
      </c>
      <c r="HQ54">
        <v>61.09</v>
      </c>
      <c r="HR54">
        <v>6.9471100000000003</v>
      </c>
      <c r="HS54">
        <v>2</v>
      </c>
      <c r="HT54">
        <v>5.0481699999999997E-2</v>
      </c>
      <c r="HU54">
        <v>0</v>
      </c>
      <c r="HV54">
        <v>20.365500000000001</v>
      </c>
      <c r="HW54">
        <v>5.2014800000000001</v>
      </c>
      <c r="HX54">
        <v>11.923500000000001</v>
      </c>
      <c r="HY54">
        <v>4.9903199999999996</v>
      </c>
      <c r="HZ54">
        <v>3.2814000000000001</v>
      </c>
      <c r="IA54">
        <v>9999</v>
      </c>
      <c r="IB54">
        <v>9999</v>
      </c>
      <c r="IC54">
        <v>9999</v>
      </c>
      <c r="ID54">
        <v>155.4</v>
      </c>
      <c r="IE54">
        <v>4.97201</v>
      </c>
      <c r="IF54">
        <v>1.8586199999999999</v>
      </c>
      <c r="IG54">
        <v>1.8677999999999999</v>
      </c>
      <c r="IH54">
        <v>1.86297</v>
      </c>
      <c r="II54">
        <v>1.8650800000000001</v>
      </c>
      <c r="IJ54">
        <v>1.86137</v>
      </c>
      <c r="IK54">
        <v>1.8635299999999999</v>
      </c>
      <c r="IL54">
        <v>1.86127</v>
      </c>
      <c r="IM54">
        <v>0</v>
      </c>
      <c r="IN54">
        <v>0</v>
      </c>
      <c r="IO54">
        <v>0</v>
      </c>
      <c r="IP54">
        <v>0</v>
      </c>
      <c r="IQ54" t="s">
        <v>443</v>
      </c>
      <c r="IR54" t="s">
        <v>444</v>
      </c>
      <c r="IS54" t="s">
        <v>445</v>
      </c>
      <c r="IT54" t="s">
        <v>445</v>
      </c>
      <c r="IU54" t="s">
        <v>445</v>
      </c>
      <c r="IV54" t="s">
        <v>445</v>
      </c>
      <c r="IW54">
        <v>0</v>
      </c>
      <c r="IX54">
        <v>100</v>
      </c>
      <c r="IY54">
        <v>100</v>
      </c>
      <c r="IZ54">
        <v>-2.0840000000000001</v>
      </c>
      <c r="JA54">
        <v>0.17180000000000001</v>
      </c>
      <c r="JB54">
        <v>-1.252214354925264</v>
      </c>
      <c r="JC54">
        <v>-2.4932477295996069E-3</v>
      </c>
      <c r="JD54">
        <v>1.159696634280317E-6</v>
      </c>
      <c r="JE54">
        <v>-3.5013845820821591E-10</v>
      </c>
      <c r="JF54">
        <v>-1.8539783221661419E-2</v>
      </c>
      <c r="JG54">
        <v>-7.5935071553627593E-3</v>
      </c>
      <c r="JH54">
        <v>1.367325239740887E-3</v>
      </c>
      <c r="JI54">
        <v>-2.2944115828177239E-5</v>
      </c>
      <c r="JJ54">
        <v>2</v>
      </c>
      <c r="JK54">
        <v>2118</v>
      </c>
      <c r="JL54">
        <v>1</v>
      </c>
      <c r="JM54">
        <v>27</v>
      </c>
      <c r="JN54">
        <v>305.89999999999998</v>
      </c>
      <c r="JO54">
        <v>305.89999999999998</v>
      </c>
      <c r="JP54">
        <v>1.2780800000000001</v>
      </c>
      <c r="JQ54">
        <v>2.5366200000000001</v>
      </c>
      <c r="JR54">
        <v>2.19604</v>
      </c>
      <c r="JS54">
        <v>2.6831100000000001</v>
      </c>
      <c r="JT54">
        <v>2.1496599999999999</v>
      </c>
      <c r="JU54">
        <v>2.4645999999999999</v>
      </c>
      <c r="JV54">
        <v>35.313299999999998</v>
      </c>
      <c r="JW54">
        <v>13.702999999999999</v>
      </c>
      <c r="JX54">
        <v>18</v>
      </c>
      <c r="JY54">
        <v>686.279</v>
      </c>
      <c r="JZ54">
        <v>721.19399999999996</v>
      </c>
      <c r="KA54">
        <v>27.516200000000001</v>
      </c>
      <c r="KB54">
        <v>28.086400000000001</v>
      </c>
      <c r="KC54">
        <v>30.000399999999999</v>
      </c>
      <c r="KD54">
        <v>28.159600000000001</v>
      </c>
      <c r="KE54">
        <v>28.191199999999998</v>
      </c>
      <c r="KF54">
        <v>25.6417</v>
      </c>
      <c r="KG54">
        <v>21.5779</v>
      </c>
      <c r="KH54">
        <v>52.733699999999999</v>
      </c>
      <c r="KI54">
        <v>-999.9</v>
      </c>
      <c r="KJ54">
        <v>400</v>
      </c>
      <c r="KK54">
        <v>18.761299999999999</v>
      </c>
      <c r="KL54">
        <v>100.955</v>
      </c>
      <c r="KM54">
        <v>100.93300000000001</v>
      </c>
    </row>
    <row r="55" spans="1:299" x14ac:dyDescent="0.2">
      <c r="A55">
        <v>39</v>
      </c>
      <c r="B55" t="s">
        <v>538</v>
      </c>
      <c r="C55">
        <v>3</v>
      </c>
      <c r="D55">
        <v>1707862017.5999999</v>
      </c>
      <c r="E55">
        <v>259</v>
      </c>
      <c r="F55" t="s">
        <v>523</v>
      </c>
      <c r="G55" t="s">
        <v>524</v>
      </c>
      <c r="H55" t="s">
        <v>436</v>
      </c>
      <c r="I55" t="s">
        <v>437</v>
      </c>
      <c r="J55" t="s">
        <v>438</v>
      </c>
      <c r="M55" t="s">
        <v>438</v>
      </c>
      <c r="O55">
        <v>1707862017.5999999</v>
      </c>
      <c r="P55">
        <f t="shared" si="0"/>
        <v>6.8207759217381466E-4</v>
      </c>
      <c r="Q55">
        <f t="shared" si="1"/>
        <v>0.6820775921738147</v>
      </c>
      <c r="R55">
        <f t="shared" si="2"/>
        <v>3.7281507205893489</v>
      </c>
      <c r="S55">
        <f t="shared" si="3"/>
        <v>396.73500000000001</v>
      </c>
      <c r="T55">
        <f t="shared" si="4"/>
        <v>196.21296338538593</v>
      </c>
      <c r="U55">
        <f t="shared" si="5"/>
        <v>20.000433448044646</v>
      </c>
      <c r="V55">
        <f t="shared" si="6"/>
        <v>40.440100527022508</v>
      </c>
      <c r="W55">
        <f t="shared" si="7"/>
        <v>3.1519802234822196E-2</v>
      </c>
      <c r="X55">
        <f t="shared" si="8"/>
        <v>2.9616048206501406</v>
      </c>
      <c r="Y55">
        <f t="shared" si="9"/>
        <v>3.1334618103693465E-2</v>
      </c>
      <c r="Z55">
        <f t="shared" si="10"/>
        <v>1.9600683528455835E-2</v>
      </c>
      <c r="AA55">
        <f t="shared" si="11"/>
        <v>304.5766999353354</v>
      </c>
      <c r="AB55">
        <f t="shared" si="12"/>
        <v>30.564477628511195</v>
      </c>
      <c r="AC55">
        <f t="shared" si="13"/>
        <v>29.558599999999998</v>
      </c>
      <c r="AD55">
        <f t="shared" si="14"/>
        <v>4.1536177991354322</v>
      </c>
      <c r="AE55">
        <f t="shared" si="15"/>
        <v>49.877225996958344</v>
      </c>
      <c r="AF55">
        <f t="shared" si="16"/>
        <v>2.0017969531297499</v>
      </c>
      <c r="AG55">
        <f t="shared" si="17"/>
        <v>4.0134488498855676</v>
      </c>
      <c r="AH55">
        <f t="shared" si="18"/>
        <v>2.1518208460056822</v>
      </c>
      <c r="AI55">
        <f t="shared" si="19"/>
        <v>-30.079621814865227</v>
      </c>
      <c r="AJ55">
        <f t="shared" si="20"/>
        <v>-94.905493635624723</v>
      </c>
      <c r="AK55">
        <f t="shared" si="21"/>
        <v>-7.0733303306234712</v>
      </c>
      <c r="AL55">
        <f t="shared" si="22"/>
        <v>172.51825415422195</v>
      </c>
      <c r="AM55">
        <f t="shared" si="23"/>
        <v>3.5377601565346399</v>
      </c>
      <c r="AN55">
        <f t="shared" si="24"/>
        <v>0.73672888317217622</v>
      </c>
      <c r="AO55">
        <f t="shared" si="25"/>
        <v>3.7281507205893489</v>
      </c>
      <c r="AP55">
        <v>407.78194159717083</v>
      </c>
      <c r="AQ55">
        <v>404.66861818181798</v>
      </c>
      <c r="AR55">
        <v>-3.7160877697732422E-2</v>
      </c>
      <c r="AS55">
        <v>67.029677224003038</v>
      </c>
      <c r="AT55">
        <f t="shared" si="26"/>
        <v>0.6820775921738147</v>
      </c>
      <c r="AU55">
        <v>19.023549147941161</v>
      </c>
      <c r="AV55">
        <v>19.640706666666659</v>
      </c>
      <c r="AW55">
        <v>-9.6565066393250014E-3</v>
      </c>
      <c r="AX55">
        <v>78.629611991925657</v>
      </c>
      <c r="AY55">
        <v>126</v>
      </c>
      <c r="AZ55">
        <v>18</v>
      </c>
      <c r="BA55">
        <f t="shared" si="27"/>
        <v>1</v>
      </c>
      <c r="BB55">
        <f t="shared" si="28"/>
        <v>0</v>
      </c>
      <c r="BC55">
        <f t="shared" si="29"/>
        <v>53499.426285954709</v>
      </c>
      <c r="BD55" t="s">
        <v>439</v>
      </c>
      <c r="BE55" t="s">
        <v>439</v>
      </c>
      <c r="BF55">
        <v>0</v>
      </c>
      <c r="BG55">
        <v>0</v>
      </c>
      <c r="BH55" t="e">
        <f t="shared" si="30"/>
        <v>#DIV/0!</v>
      </c>
      <c r="BI55">
        <v>0</v>
      </c>
      <c r="BJ55" t="s">
        <v>439</v>
      </c>
      <c r="BK55" t="s">
        <v>439</v>
      </c>
      <c r="BL55">
        <v>0</v>
      </c>
      <c r="BM55">
        <v>0</v>
      </c>
      <c r="BN55" t="e">
        <f t="shared" si="31"/>
        <v>#DIV/0!</v>
      </c>
      <c r="BO55">
        <v>0.5</v>
      </c>
      <c r="BP55">
        <f t="shared" si="32"/>
        <v>1344.2957999676676</v>
      </c>
      <c r="BQ55">
        <f t="shared" si="33"/>
        <v>3.7281507205893489</v>
      </c>
      <c r="BR55" t="e">
        <f t="shared" si="34"/>
        <v>#DIV/0!</v>
      </c>
      <c r="BS55">
        <f t="shared" si="35"/>
        <v>2.7733112910707726E-3</v>
      </c>
      <c r="BT55" t="e">
        <f t="shared" si="36"/>
        <v>#DIV/0!</v>
      </c>
      <c r="BU55" t="e">
        <f t="shared" si="37"/>
        <v>#DIV/0!</v>
      </c>
      <c r="BV55" t="s">
        <v>439</v>
      </c>
      <c r="BW55">
        <v>0</v>
      </c>
      <c r="BX55" t="e">
        <f t="shared" si="38"/>
        <v>#DIV/0!</v>
      </c>
      <c r="BY55" t="e">
        <f t="shared" si="39"/>
        <v>#DIV/0!</v>
      </c>
      <c r="BZ55" t="e">
        <f t="shared" si="40"/>
        <v>#DIV/0!</v>
      </c>
      <c r="CA55" t="e">
        <f t="shared" si="41"/>
        <v>#DIV/0!</v>
      </c>
      <c r="CB55" t="e">
        <f t="shared" si="42"/>
        <v>#DIV/0!</v>
      </c>
      <c r="CC55" t="e">
        <f t="shared" si="43"/>
        <v>#DIV/0!</v>
      </c>
      <c r="CD55" t="e">
        <f t="shared" si="44"/>
        <v>#DIV/0!</v>
      </c>
      <c r="CE55" t="e">
        <f t="shared" si="45"/>
        <v>#DIV/0!</v>
      </c>
      <c r="DN55">
        <f t="shared" si="46"/>
        <v>1600.01</v>
      </c>
      <c r="DO55">
        <f t="shared" si="47"/>
        <v>1344.2957999676676</v>
      </c>
      <c r="DP55">
        <f t="shared" si="48"/>
        <v>0.84017962385714318</v>
      </c>
      <c r="DQ55">
        <f t="shared" si="49"/>
        <v>0.19035924771428642</v>
      </c>
      <c r="DR55">
        <v>6</v>
      </c>
      <c r="DS55">
        <v>0.5</v>
      </c>
      <c r="DT55" t="s">
        <v>440</v>
      </c>
      <c r="DU55">
        <v>2</v>
      </c>
      <c r="DV55" t="b">
        <v>1</v>
      </c>
      <c r="DW55">
        <v>1707862017.5999999</v>
      </c>
      <c r="DX55">
        <v>396.73500000000001</v>
      </c>
      <c r="DY55">
        <v>400.01799999999997</v>
      </c>
      <c r="DZ55">
        <v>19.638500000000001</v>
      </c>
      <c r="EA55">
        <v>19.019400000000001</v>
      </c>
      <c r="EB55">
        <v>398.82</v>
      </c>
      <c r="EC55">
        <v>19.456199999999999</v>
      </c>
      <c r="ED55">
        <v>699.97799999999995</v>
      </c>
      <c r="EE55">
        <v>101.849</v>
      </c>
      <c r="EF55">
        <v>8.32735E-2</v>
      </c>
      <c r="EG55">
        <v>28.964200000000002</v>
      </c>
      <c r="EH55">
        <v>29.558599999999998</v>
      </c>
      <c r="EI55">
        <v>999.9</v>
      </c>
      <c r="EJ55">
        <v>0</v>
      </c>
      <c r="EK55">
        <v>0</v>
      </c>
      <c r="EL55">
        <v>9999</v>
      </c>
      <c r="EM55">
        <v>0</v>
      </c>
      <c r="EN55">
        <v>1.91117E-3</v>
      </c>
      <c r="EO55">
        <v>-3.2825899999999999</v>
      </c>
      <c r="EP55">
        <v>404.68299999999999</v>
      </c>
      <c r="EQ55">
        <v>407.77300000000002</v>
      </c>
      <c r="ER55">
        <v>0.61916400000000005</v>
      </c>
      <c r="ES55">
        <v>400.01799999999997</v>
      </c>
      <c r="ET55">
        <v>19.019400000000001</v>
      </c>
      <c r="EU55">
        <v>2.0001600000000002</v>
      </c>
      <c r="EV55">
        <v>1.9371</v>
      </c>
      <c r="EW55">
        <v>17.445599999999999</v>
      </c>
      <c r="EX55">
        <v>16.939399999999999</v>
      </c>
      <c r="EY55">
        <v>1600.01</v>
      </c>
      <c r="EZ55">
        <v>0.99399300000000002</v>
      </c>
      <c r="FA55">
        <v>6.0070499999999999E-3</v>
      </c>
      <c r="FB55">
        <v>0</v>
      </c>
      <c r="FC55">
        <v>231.48400000000001</v>
      </c>
      <c r="FD55">
        <v>5.0001800000000003</v>
      </c>
      <c r="FE55">
        <v>5972.92</v>
      </c>
      <c r="FF55">
        <v>13735.6</v>
      </c>
      <c r="FG55">
        <v>37.375</v>
      </c>
      <c r="FH55">
        <v>39.25</v>
      </c>
      <c r="FI55">
        <v>37.936999999999998</v>
      </c>
      <c r="FJ55">
        <v>38.811999999999998</v>
      </c>
      <c r="FK55">
        <v>38.561999999999998</v>
      </c>
      <c r="FL55">
        <v>1585.43</v>
      </c>
      <c r="FM55">
        <v>9.58</v>
      </c>
      <c r="FN55">
        <v>0</v>
      </c>
      <c r="FO55">
        <v>1685756428</v>
      </c>
      <c r="FP55">
        <v>0</v>
      </c>
      <c r="FQ55">
        <v>233.10491999999999</v>
      </c>
      <c r="FR55">
        <v>-13.115615360586411</v>
      </c>
      <c r="FS55">
        <v>-170.0107689519196</v>
      </c>
      <c r="FT55">
        <v>5990.9088000000002</v>
      </c>
      <c r="FU55">
        <v>15</v>
      </c>
      <c r="FV55">
        <v>1707843540</v>
      </c>
      <c r="FW55" t="s">
        <v>487</v>
      </c>
      <c r="FX55">
        <v>1707843539.5</v>
      </c>
      <c r="FY55">
        <v>1707843540</v>
      </c>
      <c r="FZ55">
        <v>1</v>
      </c>
      <c r="GA55">
        <v>-0.112</v>
      </c>
      <c r="GB55">
        <v>6.8000000000000005E-2</v>
      </c>
      <c r="GC55">
        <v>-2.09</v>
      </c>
      <c r="GD55">
        <v>0.03</v>
      </c>
      <c r="GE55">
        <v>400</v>
      </c>
      <c r="GF55">
        <v>11</v>
      </c>
      <c r="GG55">
        <v>0.28000000000000003</v>
      </c>
      <c r="GH55">
        <v>0.05</v>
      </c>
      <c r="GI55">
        <v>3.571615144943423</v>
      </c>
      <c r="GJ55">
        <v>0.28700365955511259</v>
      </c>
      <c r="GK55">
        <v>5.1213006781241147E-2</v>
      </c>
      <c r="GL55">
        <v>1</v>
      </c>
      <c r="GM55">
        <v>3.10794736237315E-2</v>
      </c>
      <c r="GN55">
        <v>-6.4622566348031718E-4</v>
      </c>
      <c r="GO55">
        <v>1.0841977013797089E-3</v>
      </c>
      <c r="GP55">
        <v>1</v>
      </c>
      <c r="GQ55">
        <v>2</v>
      </c>
      <c r="GR55">
        <v>2</v>
      </c>
      <c r="GS55" t="s">
        <v>512</v>
      </c>
      <c r="GT55">
        <v>3.36815</v>
      </c>
      <c r="GU55">
        <v>2.7774800000000002</v>
      </c>
      <c r="GV55">
        <v>9.5914899999999997E-2</v>
      </c>
      <c r="GW55">
        <v>9.5865400000000003E-2</v>
      </c>
      <c r="GX55">
        <v>0.100094</v>
      </c>
      <c r="GY55">
        <v>9.7285999999999997E-2</v>
      </c>
      <c r="GZ55">
        <v>21192.400000000001</v>
      </c>
      <c r="HA55">
        <v>21779.200000000001</v>
      </c>
      <c r="HB55">
        <v>24905.1</v>
      </c>
      <c r="HC55">
        <v>25505.200000000001</v>
      </c>
      <c r="HD55">
        <v>34077.300000000003</v>
      </c>
      <c r="HE55">
        <v>34420.300000000003</v>
      </c>
      <c r="HF55">
        <v>41640.400000000001</v>
      </c>
      <c r="HG55">
        <v>41272.1</v>
      </c>
      <c r="HH55">
        <v>2.1976599999999999</v>
      </c>
      <c r="HI55">
        <v>2.2940800000000001</v>
      </c>
      <c r="HJ55">
        <v>9.5465800000000003E-2</v>
      </c>
      <c r="HK55">
        <v>0</v>
      </c>
      <c r="HL55">
        <v>28.001899999999999</v>
      </c>
      <c r="HM55">
        <v>999.9</v>
      </c>
      <c r="HN55">
        <v>45.7</v>
      </c>
      <c r="HO55">
        <v>32.799999999999997</v>
      </c>
      <c r="HP55">
        <v>22.415800000000001</v>
      </c>
      <c r="HQ55">
        <v>60.83</v>
      </c>
      <c r="HR55">
        <v>6.52644</v>
      </c>
      <c r="HS55">
        <v>2</v>
      </c>
      <c r="HT55">
        <v>5.8823199999999999E-2</v>
      </c>
      <c r="HU55">
        <v>0</v>
      </c>
      <c r="HV55">
        <v>20.364899999999999</v>
      </c>
      <c r="HW55">
        <v>5.2009999999999996</v>
      </c>
      <c r="HX55">
        <v>11.925000000000001</v>
      </c>
      <c r="HY55">
        <v>4.99024</v>
      </c>
      <c r="HZ55">
        <v>3.2814000000000001</v>
      </c>
      <c r="IA55">
        <v>9999</v>
      </c>
      <c r="IB55">
        <v>9999</v>
      </c>
      <c r="IC55">
        <v>9999</v>
      </c>
      <c r="ID55">
        <v>155.5</v>
      </c>
      <c r="IE55">
        <v>4.97201</v>
      </c>
      <c r="IF55">
        <v>1.85867</v>
      </c>
      <c r="IG55">
        <v>1.8678300000000001</v>
      </c>
      <c r="IH55">
        <v>1.8631</v>
      </c>
      <c r="II55">
        <v>1.8651500000000001</v>
      </c>
      <c r="IJ55">
        <v>1.8614200000000001</v>
      </c>
      <c r="IK55">
        <v>1.8635600000000001</v>
      </c>
      <c r="IL55">
        <v>1.8613299999999999</v>
      </c>
      <c r="IM55">
        <v>0</v>
      </c>
      <c r="IN55">
        <v>0</v>
      </c>
      <c r="IO55">
        <v>0</v>
      </c>
      <c r="IP55">
        <v>0</v>
      </c>
      <c r="IQ55" t="s">
        <v>443</v>
      </c>
      <c r="IR55" t="s">
        <v>444</v>
      </c>
      <c r="IS55" t="s">
        <v>445</v>
      </c>
      <c r="IT55" t="s">
        <v>445</v>
      </c>
      <c r="IU55" t="s">
        <v>445</v>
      </c>
      <c r="IV55" t="s">
        <v>445</v>
      </c>
      <c r="IW55">
        <v>0</v>
      </c>
      <c r="IX55">
        <v>100</v>
      </c>
      <c r="IY55">
        <v>100</v>
      </c>
      <c r="IZ55">
        <v>-2.085</v>
      </c>
      <c r="JA55">
        <v>0.18229999999999999</v>
      </c>
      <c r="JB55">
        <v>-1.252214354925264</v>
      </c>
      <c r="JC55">
        <v>-2.4932477295996069E-3</v>
      </c>
      <c r="JD55">
        <v>1.159696634280317E-6</v>
      </c>
      <c r="JE55">
        <v>-3.5013845820821591E-10</v>
      </c>
      <c r="JF55">
        <v>-1.8539783221661419E-2</v>
      </c>
      <c r="JG55">
        <v>-7.5935071553627593E-3</v>
      </c>
      <c r="JH55">
        <v>1.367325239740887E-3</v>
      </c>
      <c r="JI55">
        <v>-2.2944115828177239E-5</v>
      </c>
      <c r="JJ55">
        <v>2</v>
      </c>
      <c r="JK55">
        <v>2118</v>
      </c>
      <c r="JL55">
        <v>1</v>
      </c>
      <c r="JM55">
        <v>27</v>
      </c>
      <c r="JN55">
        <v>308</v>
      </c>
      <c r="JO55">
        <v>308</v>
      </c>
      <c r="JP55">
        <v>1.2780800000000001</v>
      </c>
      <c r="JQ55">
        <v>2.5427200000000001</v>
      </c>
      <c r="JR55">
        <v>2.19604</v>
      </c>
      <c r="JS55">
        <v>2.6892100000000001</v>
      </c>
      <c r="JT55">
        <v>2.1496599999999999</v>
      </c>
      <c r="JU55">
        <v>2.4218799999999998</v>
      </c>
      <c r="JV55">
        <v>35.941200000000002</v>
      </c>
      <c r="JW55">
        <v>13.667999999999999</v>
      </c>
      <c r="JX55">
        <v>18</v>
      </c>
      <c r="JY55">
        <v>582.82899999999995</v>
      </c>
      <c r="JZ55">
        <v>721.529</v>
      </c>
      <c r="KA55">
        <v>27.963999999999999</v>
      </c>
      <c r="KB55">
        <v>28.230699999999999</v>
      </c>
      <c r="KC55">
        <v>30.000599999999999</v>
      </c>
      <c r="KD55">
        <v>28.238900000000001</v>
      </c>
      <c r="KE55">
        <v>28.255199999999999</v>
      </c>
      <c r="KF55">
        <v>25.6602</v>
      </c>
      <c r="KG55">
        <v>23.299800000000001</v>
      </c>
      <c r="KH55">
        <v>56.014299999999999</v>
      </c>
      <c r="KI55">
        <v>-999.9</v>
      </c>
      <c r="KJ55">
        <v>400</v>
      </c>
      <c r="KK55">
        <v>19.0504</v>
      </c>
      <c r="KL55">
        <v>100.93899999999999</v>
      </c>
      <c r="KM55">
        <v>100.922</v>
      </c>
    </row>
    <row r="56" spans="1:299" x14ac:dyDescent="0.2">
      <c r="A56">
        <v>40</v>
      </c>
      <c r="B56" t="s">
        <v>538</v>
      </c>
      <c r="C56">
        <v>4</v>
      </c>
      <c r="D56">
        <v>1707862165.0999999</v>
      </c>
      <c r="E56">
        <v>406.5</v>
      </c>
      <c r="F56" t="s">
        <v>525</v>
      </c>
      <c r="G56" t="s">
        <v>526</v>
      </c>
      <c r="H56" t="s">
        <v>436</v>
      </c>
      <c r="I56" t="s">
        <v>437</v>
      </c>
      <c r="J56" t="s">
        <v>438</v>
      </c>
      <c r="M56" t="s">
        <v>438</v>
      </c>
      <c r="O56">
        <v>1707862165.0999999</v>
      </c>
      <c r="P56">
        <f t="shared" si="0"/>
        <v>3.1181883290907499E-4</v>
      </c>
      <c r="Q56">
        <f t="shared" si="1"/>
        <v>0.31181883290907497</v>
      </c>
      <c r="R56">
        <f t="shared" si="2"/>
        <v>2.5069636127101385</v>
      </c>
      <c r="S56">
        <f t="shared" si="3"/>
        <v>397.78100000000001</v>
      </c>
      <c r="T56">
        <f t="shared" si="4"/>
        <v>100.574623878046</v>
      </c>
      <c r="U56">
        <f t="shared" si="5"/>
        <v>10.251743022369951</v>
      </c>
      <c r="V56">
        <f t="shared" si="6"/>
        <v>40.546496063720298</v>
      </c>
      <c r="W56">
        <f t="shared" si="7"/>
        <v>1.3945578029359777E-2</v>
      </c>
      <c r="X56">
        <f t="shared" si="8"/>
        <v>2.9635101407378439</v>
      </c>
      <c r="Y56">
        <f t="shared" si="9"/>
        <v>1.3909222556058637E-2</v>
      </c>
      <c r="Z56">
        <f t="shared" si="10"/>
        <v>8.6965225340765416E-3</v>
      </c>
      <c r="AA56">
        <f t="shared" si="11"/>
        <v>304.58309993547203</v>
      </c>
      <c r="AB56">
        <f t="shared" si="12"/>
        <v>31.141828818819903</v>
      </c>
      <c r="AC56">
        <f t="shared" si="13"/>
        <v>30.094000000000001</v>
      </c>
      <c r="AD56">
        <f t="shared" si="14"/>
        <v>4.2835073387327212</v>
      </c>
      <c r="AE56">
        <f t="shared" si="15"/>
        <v>50.145470552971986</v>
      </c>
      <c r="AF56">
        <f t="shared" si="16"/>
        <v>2.0696009783739395</v>
      </c>
      <c r="AG56">
        <f t="shared" si="17"/>
        <v>4.1271942521462295</v>
      </c>
      <c r="AH56">
        <f t="shared" si="18"/>
        <v>2.2139063603587816</v>
      </c>
      <c r="AI56">
        <f t="shared" si="19"/>
        <v>-13.751210531290207</v>
      </c>
      <c r="AJ56">
        <f t="shared" si="20"/>
        <v>-103.22659500088911</v>
      </c>
      <c r="AK56">
        <f t="shared" si="21"/>
        <v>-7.7275086024406194</v>
      </c>
      <c r="AL56">
        <f t="shared" si="22"/>
        <v>179.87778580085211</v>
      </c>
      <c r="AM56">
        <f t="shared" si="23"/>
        <v>2.5298198811670494</v>
      </c>
      <c r="AN56">
        <f t="shared" si="24"/>
        <v>0.1666161627451416</v>
      </c>
      <c r="AO56">
        <f t="shared" si="25"/>
        <v>2.5069636127101385</v>
      </c>
      <c r="AP56">
        <v>408.21824812198389</v>
      </c>
      <c r="AQ56">
        <v>406.03136363636338</v>
      </c>
      <c r="AR56">
        <v>-1.532312595574928E-3</v>
      </c>
      <c r="AS56">
        <v>67.029569503358303</v>
      </c>
      <c r="AT56">
        <f t="shared" si="26"/>
        <v>0.31181883290907497</v>
      </c>
      <c r="AU56">
        <v>20.19540771330751</v>
      </c>
      <c r="AV56">
        <v>20.29365515151515</v>
      </c>
      <c r="AW56">
        <v>3.597521870476704E-2</v>
      </c>
      <c r="AX56">
        <v>78.629255330879033</v>
      </c>
      <c r="AY56">
        <v>84</v>
      </c>
      <c r="AZ56">
        <v>12</v>
      </c>
      <c r="BA56">
        <f t="shared" si="27"/>
        <v>1</v>
      </c>
      <c r="BB56">
        <f t="shared" si="28"/>
        <v>0</v>
      </c>
      <c r="BC56">
        <f t="shared" si="29"/>
        <v>53469.167303458104</v>
      </c>
      <c r="BD56" t="s">
        <v>439</v>
      </c>
      <c r="BE56" t="s">
        <v>439</v>
      </c>
      <c r="BF56">
        <v>0</v>
      </c>
      <c r="BG56">
        <v>0</v>
      </c>
      <c r="BH56" t="e">
        <f t="shared" si="30"/>
        <v>#DIV/0!</v>
      </c>
      <c r="BI56">
        <v>0</v>
      </c>
      <c r="BJ56" t="s">
        <v>439</v>
      </c>
      <c r="BK56" t="s">
        <v>439</v>
      </c>
      <c r="BL56">
        <v>0</v>
      </c>
      <c r="BM56">
        <v>0</v>
      </c>
      <c r="BN56" t="e">
        <f t="shared" si="31"/>
        <v>#DIV/0!</v>
      </c>
      <c r="BO56">
        <v>0.5</v>
      </c>
      <c r="BP56">
        <f t="shared" si="32"/>
        <v>1344.3287999677359</v>
      </c>
      <c r="BQ56">
        <f t="shared" si="33"/>
        <v>2.5069636127101385</v>
      </c>
      <c r="BR56" t="e">
        <f t="shared" si="34"/>
        <v>#DIV/0!</v>
      </c>
      <c r="BS56">
        <f t="shared" si="35"/>
        <v>1.8648440863353562E-3</v>
      </c>
      <c r="BT56" t="e">
        <f t="shared" si="36"/>
        <v>#DIV/0!</v>
      </c>
      <c r="BU56" t="e">
        <f t="shared" si="37"/>
        <v>#DIV/0!</v>
      </c>
      <c r="BV56" t="s">
        <v>439</v>
      </c>
      <c r="BW56">
        <v>0</v>
      </c>
      <c r="BX56" t="e">
        <f t="shared" si="38"/>
        <v>#DIV/0!</v>
      </c>
      <c r="BY56" t="e">
        <f t="shared" si="39"/>
        <v>#DIV/0!</v>
      </c>
      <c r="BZ56" t="e">
        <f t="shared" si="40"/>
        <v>#DIV/0!</v>
      </c>
      <c r="CA56" t="e">
        <f t="shared" si="41"/>
        <v>#DIV/0!</v>
      </c>
      <c r="CB56" t="e">
        <f t="shared" si="42"/>
        <v>#DIV/0!</v>
      </c>
      <c r="CC56" t="e">
        <f t="shared" si="43"/>
        <v>#DIV/0!</v>
      </c>
      <c r="CD56" t="e">
        <f t="shared" si="44"/>
        <v>#DIV/0!</v>
      </c>
      <c r="CE56" t="e">
        <f t="shared" si="45"/>
        <v>#DIV/0!</v>
      </c>
      <c r="DN56">
        <f t="shared" si="46"/>
        <v>1600.05</v>
      </c>
      <c r="DO56">
        <f t="shared" si="47"/>
        <v>1344.3287999677359</v>
      </c>
      <c r="DP56">
        <f t="shared" si="48"/>
        <v>0.84017924437844815</v>
      </c>
      <c r="DQ56">
        <f t="shared" si="49"/>
        <v>0.19035848875689637</v>
      </c>
      <c r="DR56">
        <v>6</v>
      </c>
      <c r="DS56">
        <v>0.5</v>
      </c>
      <c r="DT56" t="s">
        <v>440</v>
      </c>
      <c r="DU56">
        <v>2</v>
      </c>
      <c r="DV56" t="b">
        <v>1</v>
      </c>
      <c r="DW56">
        <v>1707862165.0999999</v>
      </c>
      <c r="DX56">
        <v>397.78100000000001</v>
      </c>
      <c r="DY56">
        <v>400.00599999999997</v>
      </c>
      <c r="DZ56">
        <v>20.303799999999999</v>
      </c>
      <c r="EA56">
        <v>20.163900000000002</v>
      </c>
      <c r="EB56">
        <v>399.86700000000002</v>
      </c>
      <c r="EC56">
        <v>20.108699999999999</v>
      </c>
      <c r="ED56">
        <v>700.07100000000003</v>
      </c>
      <c r="EE56">
        <v>101.84699999999999</v>
      </c>
      <c r="EF56">
        <v>8.4706299999999998E-2</v>
      </c>
      <c r="EG56">
        <v>29.447900000000001</v>
      </c>
      <c r="EH56">
        <v>30.094000000000001</v>
      </c>
      <c r="EI56">
        <v>999.9</v>
      </c>
      <c r="EJ56">
        <v>0</v>
      </c>
      <c r="EK56">
        <v>0</v>
      </c>
      <c r="EL56">
        <v>10010</v>
      </c>
      <c r="EM56">
        <v>0</v>
      </c>
      <c r="EN56">
        <v>1.91117E-3</v>
      </c>
      <c r="EO56">
        <v>-2.2259500000000001</v>
      </c>
      <c r="EP56">
        <v>406.024</v>
      </c>
      <c r="EQ56">
        <v>408.238</v>
      </c>
      <c r="ER56">
        <v>0.139956</v>
      </c>
      <c r="ES56">
        <v>400.00599999999997</v>
      </c>
      <c r="ET56">
        <v>20.163900000000002</v>
      </c>
      <c r="EU56">
        <v>2.0678800000000002</v>
      </c>
      <c r="EV56">
        <v>2.05362</v>
      </c>
      <c r="EW56">
        <v>17.9739</v>
      </c>
      <c r="EX56">
        <v>17.864000000000001</v>
      </c>
      <c r="EY56">
        <v>1600.05</v>
      </c>
      <c r="EZ56">
        <v>0.99400599999999995</v>
      </c>
      <c r="FA56">
        <v>5.9943899999999996E-3</v>
      </c>
      <c r="FB56">
        <v>0</v>
      </c>
      <c r="FC56">
        <v>207.64699999999999</v>
      </c>
      <c r="FD56">
        <v>5.0001800000000003</v>
      </c>
      <c r="FE56">
        <v>4948.01</v>
      </c>
      <c r="FF56">
        <v>13736</v>
      </c>
      <c r="FG56">
        <v>38</v>
      </c>
      <c r="FH56">
        <v>39.936999999999998</v>
      </c>
      <c r="FI56">
        <v>38.561999999999998</v>
      </c>
      <c r="FJ56">
        <v>39.561999999999998</v>
      </c>
      <c r="FK56">
        <v>39.25</v>
      </c>
      <c r="FL56">
        <v>1585.49</v>
      </c>
      <c r="FM56">
        <v>9.56</v>
      </c>
      <c r="FN56">
        <v>0</v>
      </c>
      <c r="FO56">
        <v>1685756575.5999999</v>
      </c>
      <c r="FP56">
        <v>0</v>
      </c>
      <c r="FQ56">
        <v>208.4546</v>
      </c>
      <c r="FR56">
        <v>-6.5069230820183739</v>
      </c>
      <c r="FS56">
        <v>-164.55000040021039</v>
      </c>
      <c r="FT56">
        <v>4959.4912000000004</v>
      </c>
      <c r="FU56">
        <v>15</v>
      </c>
      <c r="FV56">
        <v>1707843540</v>
      </c>
      <c r="FW56" t="s">
        <v>487</v>
      </c>
      <c r="FX56">
        <v>1707843539.5</v>
      </c>
      <c r="FY56">
        <v>1707843540</v>
      </c>
      <c r="FZ56">
        <v>1</v>
      </c>
      <c r="GA56">
        <v>-0.112</v>
      </c>
      <c r="GB56">
        <v>6.8000000000000005E-2</v>
      </c>
      <c r="GC56">
        <v>-2.09</v>
      </c>
      <c r="GD56">
        <v>0.03</v>
      </c>
      <c r="GE56">
        <v>400</v>
      </c>
      <c r="GF56">
        <v>11</v>
      </c>
      <c r="GG56">
        <v>0.28000000000000003</v>
      </c>
      <c r="GH56">
        <v>0.05</v>
      </c>
      <c r="GI56">
        <v>2.5022697653663482</v>
      </c>
      <c r="GJ56">
        <v>0.25987178934920357</v>
      </c>
      <c r="GK56">
        <v>6.4738805798336158E-2</v>
      </c>
      <c r="GL56">
        <v>1</v>
      </c>
      <c r="GM56">
        <v>1.7138506322125178E-2</v>
      </c>
      <c r="GN56">
        <v>-4.7373987319838211E-2</v>
      </c>
      <c r="GO56">
        <v>6.2203055950065768E-3</v>
      </c>
      <c r="GP56">
        <v>1</v>
      </c>
      <c r="GQ56">
        <v>2</v>
      </c>
      <c r="GR56">
        <v>2</v>
      </c>
      <c r="GS56" t="s">
        <v>512</v>
      </c>
      <c r="GT56">
        <v>3.3687200000000002</v>
      </c>
      <c r="GU56">
        <v>2.77901</v>
      </c>
      <c r="GV56">
        <v>9.6056900000000001E-2</v>
      </c>
      <c r="GW56">
        <v>9.5822199999999996E-2</v>
      </c>
      <c r="GX56">
        <v>0.102438</v>
      </c>
      <c r="GY56">
        <v>0.10137500000000001</v>
      </c>
      <c r="GZ56">
        <v>21177.1</v>
      </c>
      <c r="HA56">
        <v>21766.6</v>
      </c>
      <c r="HB56">
        <v>24892.3</v>
      </c>
      <c r="HC56">
        <v>25490.3</v>
      </c>
      <c r="HD56">
        <v>33970.199999999997</v>
      </c>
      <c r="HE56">
        <v>34246.400000000001</v>
      </c>
      <c r="HF56">
        <v>41617.599999999999</v>
      </c>
      <c r="HG56">
        <v>41250.400000000001</v>
      </c>
      <c r="HH56">
        <v>2.2659400000000001</v>
      </c>
      <c r="HI56">
        <v>2.2900399999999999</v>
      </c>
      <c r="HJ56">
        <v>0.103086</v>
      </c>
      <c r="HK56">
        <v>0</v>
      </c>
      <c r="HL56">
        <v>28.414400000000001</v>
      </c>
      <c r="HM56">
        <v>999.9</v>
      </c>
      <c r="HN56">
        <v>47</v>
      </c>
      <c r="HO56">
        <v>32.799999999999997</v>
      </c>
      <c r="HP56">
        <v>23.0533</v>
      </c>
      <c r="HQ56">
        <v>60.94</v>
      </c>
      <c r="HR56">
        <v>6.7828499999999998</v>
      </c>
      <c r="HS56">
        <v>2</v>
      </c>
      <c r="HT56">
        <v>8.0500000000000002E-2</v>
      </c>
      <c r="HU56">
        <v>0</v>
      </c>
      <c r="HV56">
        <v>20.3658</v>
      </c>
      <c r="HW56">
        <v>5.2042299999999999</v>
      </c>
      <c r="HX56">
        <v>11.9261</v>
      </c>
      <c r="HY56">
        <v>4.9907599999999999</v>
      </c>
      <c r="HZ56">
        <v>3.282</v>
      </c>
      <c r="IA56">
        <v>9999</v>
      </c>
      <c r="IB56">
        <v>9999</v>
      </c>
      <c r="IC56">
        <v>9999</v>
      </c>
      <c r="ID56">
        <v>155.5</v>
      </c>
      <c r="IE56">
        <v>4.9720399999999998</v>
      </c>
      <c r="IF56">
        <v>1.85873</v>
      </c>
      <c r="IG56">
        <v>1.8678399999999999</v>
      </c>
      <c r="IH56">
        <v>1.8631200000000001</v>
      </c>
      <c r="II56">
        <v>1.8652200000000001</v>
      </c>
      <c r="IJ56">
        <v>1.8614599999999999</v>
      </c>
      <c r="IK56">
        <v>1.86361</v>
      </c>
      <c r="IL56">
        <v>1.86138</v>
      </c>
      <c r="IM56">
        <v>0</v>
      </c>
      <c r="IN56">
        <v>0</v>
      </c>
      <c r="IO56">
        <v>0</v>
      </c>
      <c r="IP56">
        <v>0</v>
      </c>
      <c r="IQ56" t="s">
        <v>443</v>
      </c>
      <c r="IR56" t="s">
        <v>444</v>
      </c>
      <c r="IS56" t="s">
        <v>445</v>
      </c>
      <c r="IT56" t="s">
        <v>445</v>
      </c>
      <c r="IU56" t="s">
        <v>445</v>
      </c>
      <c r="IV56" t="s">
        <v>445</v>
      </c>
      <c r="IW56">
        <v>0</v>
      </c>
      <c r="IX56">
        <v>100</v>
      </c>
      <c r="IY56">
        <v>100</v>
      </c>
      <c r="IZ56">
        <v>-2.0859999999999999</v>
      </c>
      <c r="JA56">
        <v>0.1951</v>
      </c>
      <c r="JB56">
        <v>-1.252214354925264</v>
      </c>
      <c r="JC56">
        <v>-2.4932477295996069E-3</v>
      </c>
      <c r="JD56">
        <v>1.159696634280317E-6</v>
      </c>
      <c r="JE56">
        <v>-3.5013845820821591E-10</v>
      </c>
      <c r="JF56">
        <v>-1.8539783221661419E-2</v>
      </c>
      <c r="JG56">
        <v>-7.5935071553627593E-3</v>
      </c>
      <c r="JH56">
        <v>1.367325239740887E-3</v>
      </c>
      <c r="JI56">
        <v>-2.2944115828177239E-5</v>
      </c>
      <c r="JJ56">
        <v>2</v>
      </c>
      <c r="JK56">
        <v>2118</v>
      </c>
      <c r="JL56">
        <v>1</v>
      </c>
      <c r="JM56">
        <v>27</v>
      </c>
      <c r="JN56">
        <v>310.39999999999998</v>
      </c>
      <c r="JO56">
        <v>310.39999999999998</v>
      </c>
      <c r="JP56">
        <v>1.2793000000000001</v>
      </c>
      <c r="JQ56">
        <v>2.5512700000000001</v>
      </c>
      <c r="JR56">
        <v>2.19604</v>
      </c>
      <c r="JS56">
        <v>2.6989700000000001</v>
      </c>
      <c r="JT56">
        <v>2.1496599999999999</v>
      </c>
      <c r="JU56">
        <v>2.4340799999999998</v>
      </c>
      <c r="JV56">
        <v>36.694299999999998</v>
      </c>
      <c r="JW56">
        <v>13.632899999999999</v>
      </c>
      <c r="JX56">
        <v>18</v>
      </c>
      <c r="JY56">
        <v>632.37300000000005</v>
      </c>
      <c r="JZ56">
        <v>720.51800000000003</v>
      </c>
      <c r="KA56">
        <v>28.465199999999999</v>
      </c>
      <c r="KB56">
        <v>28.512</v>
      </c>
      <c r="KC56">
        <v>30.000800000000002</v>
      </c>
      <c r="KD56">
        <v>28.464200000000002</v>
      </c>
      <c r="KE56">
        <v>28.4589</v>
      </c>
      <c r="KF56">
        <v>25.683800000000002</v>
      </c>
      <c r="KG56">
        <v>22.163799999999998</v>
      </c>
      <c r="KH56">
        <v>60.662700000000001</v>
      </c>
      <c r="KI56">
        <v>-999.9</v>
      </c>
      <c r="KJ56">
        <v>400</v>
      </c>
      <c r="KK56">
        <v>19.994399999999999</v>
      </c>
      <c r="KL56">
        <v>100.88500000000001</v>
      </c>
      <c r="KM56">
        <v>100.867</v>
      </c>
    </row>
    <row r="57" spans="1:299" x14ac:dyDescent="0.2">
      <c r="A57">
        <v>41</v>
      </c>
      <c r="B57" t="s">
        <v>538</v>
      </c>
      <c r="C57">
        <v>5</v>
      </c>
      <c r="D57">
        <v>1707862351.5999999</v>
      </c>
      <c r="E57">
        <v>593</v>
      </c>
      <c r="F57" t="s">
        <v>527</v>
      </c>
      <c r="G57" t="s">
        <v>528</v>
      </c>
      <c r="H57" t="s">
        <v>436</v>
      </c>
      <c r="I57" t="s">
        <v>437</v>
      </c>
      <c r="J57" t="s">
        <v>438</v>
      </c>
      <c r="M57" t="s">
        <v>438</v>
      </c>
      <c r="O57">
        <v>1707862351.5999999</v>
      </c>
      <c r="P57">
        <f t="shared" si="0"/>
        <v>5.8498921947361512E-4</v>
      </c>
      <c r="Q57">
        <f t="shared" si="1"/>
        <v>0.58498921947361515</v>
      </c>
      <c r="R57">
        <f t="shared" si="2"/>
        <v>2.6531568383722393</v>
      </c>
      <c r="S57">
        <f t="shared" si="3"/>
        <v>397.57</v>
      </c>
      <c r="T57">
        <f t="shared" si="4"/>
        <v>185.15912796085328</v>
      </c>
      <c r="U57">
        <f t="shared" si="5"/>
        <v>18.87293718209683</v>
      </c>
      <c r="V57">
        <f t="shared" si="6"/>
        <v>40.523595666709994</v>
      </c>
      <c r="W57">
        <f t="shared" si="7"/>
        <v>2.1341771528691336E-2</v>
      </c>
      <c r="X57">
        <f t="shared" si="8"/>
        <v>2.9656608229976311</v>
      </c>
      <c r="Y57">
        <f t="shared" si="9"/>
        <v>2.1256815110454838E-2</v>
      </c>
      <c r="Z57">
        <f t="shared" si="10"/>
        <v>1.3293114143032365E-2</v>
      </c>
      <c r="AA57">
        <f t="shared" si="11"/>
        <v>304.58049993533626</v>
      </c>
      <c r="AB57">
        <f t="shared" si="12"/>
        <v>31.169940917803956</v>
      </c>
      <c r="AC57">
        <f t="shared" si="13"/>
        <v>29.726299999999998</v>
      </c>
      <c r="AD57">
        <f t="shared" si="14"/>
        <v>4.1939278779932128</v>
      </c>
      <c r="AE57">
        <f t="shared" si="15"/>
        <v>35.335313079786104</v>
      </c>
      <c r="AF57">
        <f t="shared" si="16"/>
        <v>1.46674684117</v>
      </c>
      <c r="AG57">
        <f t="shared" si="17"/>
        <v>4.1509377258328755</v>
      </c>
      <c r="AH57">
        <f t="shared" si="18"/>
        <v>2.7271810368232128</v>
      </c>
      <c r="AI57">
        <f t="shared" si="19"/>
        <v>-25.798024578786428</v>
      </c>
      <c r="AJ57">
        <f t="shared" si="20"/>
        <v>-28.603373955182096</v>
      </c>
      <c r="AK57">
        <f t="shared" si="21"/>
        <v>-2.1368422080997966</v>
      </c>
      <c r="AL57">
        <f t="shared" si="22"/>
        <v>248.04225919326794</v>
      </c>
      <c r="AM57">
        <f t="shared" si="23"/>
        <v>2.5417395122759205</v>
      </c>
      <c r="AN57">
        <f t="shared" si="24"/>
        <v>0.68851472962598448</v>
      </c>
      <c r="AO57">
        <f t="shared" si="25"/>
        <v>2.6531568383722393</v>
      </c>
      <c r="AP57">
        <v>405.60274730399692</v>
      </c>
      <c r="AQ57">
        <v>403.37603636363639</v>
      </c>
      <c r="AR57">
        <v>-2.0393774908410042E-2</v>
      </c>
      <c r="AS57">
        <v>67.025547689609894</v>
      </c>
      <c r="AT57">
        <f t="shared" si="26"/>
        <v>0.58498921947361515</v>
      </c>
      <c r="AU57">
        <v>13.87020278234146</v>
      </c>
      <c r="AV57">
        <v>14.39494303030304</v>
      </c>
      <c r="AW57">
        <v>-6.7279351586398686E-3</v>
      </c>
      <c r="AX57">
        <v>78.6613141856661</v>
      </c>
      <c r="AY57">
        <v>96</v>
      </c>
      <c r="AZ57">
        <v>14</v>
      </c>
      <c r="BA57">
        <f t="shared" si="27"/>
        <v>1</v>
      </c>
      <c r="BB57">
        <f t="shared" si="28"/>
        <v>0</v>
      </c>
      <c r="BC57">
        <f t="shared" si="29"/>
        <v>53513.998162301672</v>
      </c>
      <c r="BD57" t="s">
        <v>439</v>
      </c>
      <c r="BE57" t="s">
        <v>439</v>
      </c>
      <c r="BF57">
        <v>0</v>
      </c>
      <c r="BG57">
        <v>0</v>
      </c>
      <c r="BH57" t="e">
        <f t="shared" si="30"/>
        <v>#DIV/0!</v>
      </c>
      <c r="BI57">
        <v>0</v>
      </c>
      <c r="BJ57" t="s">
        <v>439</v>
      </c>
      <c r="BK57" t="s">
        <v>439</v>
      </c>
      <c r="BL57">
        <v>0</v>
      </c>
      <c r="BM57">
        <v>0</v>
      </c>
      <c r="BN57" t="e">
        <f t="shared" si="31"/>
        <v>#DIV/0!</v>
      </c>
      <c r="BO57">
        <v>0.5</v>
      </c>
      <c r="BP57">
        <f t="shared" si="32"/>
        <v>1344.3125999676681</v>
      </c>
      <c r="BQ57">
        <f t="shared" si="33"/>
        <v>2.6531568383722393</v>
      </c>
      <c r="BR57" t="e">
        <f t="shared" si="34"/>
        <v>#DIV/0!</v>
      </c>
      <c r="BS57">
        <f t="shared" si="35"/>
        <v>1.9736159866656387E-3</v>
      </c>
      <c r="BT57" t="e">
        <f t="shared" si="36"/>
        <v>#DIV/0!</v>
      </c>
      <c r="BU57" t="e">
        <f t="shared" si="37"/>
        <v>#DIV/0!</v>
      </c>
      <c r="BV57" t="s">
        <v>439</v>
      </c>
      <c r="BW57">
        <v>0</v>
      </c>
      <c r="BX57" t="e">
        <f t="shared" si="38"/>
        <v>#DIV/0!</v>
      </c>
      <c r="BY57" t="e">
        <f t="shared" si="39"/>
        <v>#DIV/0!</v>
      </c>
      <c r="BZ57" t="e">
        <f t="shared" si="40"/>
        <v>#DIV/0!</v>
      </c>
      <c r="CA57" t="e">
        <f t="shared" si="41"/>
        <v>#DIV/0!</v>
      </c>
      <c r="CB57" t="e">
        <f t="shared" si="42"/>
        <v>#DIV/0!</v>
      </c>
      <c r="CC57" t="e">
        <f t="shared" si="43"/>
        <v>#DIV/0!</v>
      </c>
      <c r="CD57" t="e">
        <f t="shared" si="44"/>
        <v>#DIV/0!</v>
      </c>
      <c r="CE57" t="e">
        <f t="shared" si="45"/>
        <v>#DIV/0!</v>
      </c>
      <c r="DN57">
        <f t="shared" si="46"/>
        <v>1600.03</v>
      </c>
      <c r="DO57">
        <f t="shared" si="47"/>
        <v>1344.3125999676681</v>
      </c>
      <c r="DP57">
        <f t="shared" si="48"/>
        <v>0.84017962161188731</v>
      </c>
      <c r="DQ57">
        <f t="shared" si="49"/>
        <v>0.1903592432237747</v>
      </c>
      <c r="DR57">
        <v>6</v>
      </c>
      <c r="DS57">
        <v>0.5</v>
      </c>
      <c r="DT57" t="s">
        <v>440</v>
      </c>
      <c r="DU57">
        <v>2</v>
      </c>
      <c r="DV57" t="b">
        <v>1</v>
      </c>
      <c r="DW57">
        <v>1707862351.5999999</v>
      </c>
      <c r="DX57">
        <v>397.57</v>
      </c>
      <c r="DY57">
        <v>399.983</v>
      </c>
      <c r="DZ57">
        <v>14.39</v>
      </c>
      <c r="EA57">
        <v>13.808400000000001</v>
      </c>
      <c r="EB57">
        <v>399.65600000000001</v>
      </c>
      <c r="EC57">
        <v>14.304500000000001</v>
      </c>
      <c r="ED57">
        <v>700.07600000000002</v>
      </c>
      <c r="EE57">
        <v>101.84399999999999</v>
      </c>
      <c r="EF57">
        <v>8.4203E-2</v>
      </c>
      <c r="EG57">
        <v>29.5474</v>
      </c>
      <c r="EH57">
        <v>29.726299999999998</v>
      </c>
      <c r="EI57">
        <v>999.9</v>
      </c>
      <c r="EJ57">
        <v>0</v>
      </c>
      <c r="EK57">
        <v>0</v>
      </c>
      <c r="EL57">
        <v>10022.5</v>
      </c>
      <c r="EM57">
        <v>0</v>
      </c>
      <c r="EN57">
        <v>1.91117E-3</v>
      </c>
      <c r="EO57">
        <v>-2.4134500000000001</v>
      </c>
      <c r="EP57">
        <v>403.37400000000002</v>
      </c>
      <c r="EQ57">
        <v>405.584</v>
      </c>
      <c r="ER57">
        <v>0.58166099999999998</v>
      </c>
      <c r="ES57">
        <v>399.983</v>
      </c>
      <c r="ET57">
        <v>13.808400000000001</v>
      </c>
      <c r="EU57">
        <v>1.46553</v>
      </c>
      <c r="EV57">
        <v>1.40629</v>
      </c>
      <c r="EW57">
        <v>12.613200000000001</v>
      </c>
      <c r="EX57">
        <v>11.9857</v>
      </c>
      <c r="EY57">
        <v>1600.03</v>
      </c>
      <c r="EZ57">
        <v>0.99399599999999999</v>
      </c>
      <c r="FA57">
        <v>6.0041399999999998E-3</v>
      </c>
      <c r="FB57">
        <v>0</v>
      </c>
      <c r="FC57">
        <v>342.56299999999999</v>
      </c>
      <c r="FD57">
        <v>5.0001800000000003</v>
      </c>
      <c r="FE57">
        <v>8141.23</v>
      </c>
      <c r="FF57">
        <v>13735.8</v>
      </c>
      <c r="FG57">
        <v>37.875</v>
      </c>
      <c r="FH57">
        <v>39.686999999999998</v>
      </c>
      <c r="FI57">
        <v>38.5</v>
      </c>
      <c r="FJ57">
        <v>39.25</v>
      </c>
      <c r="FK57">
        <v>39.186999999999998</v>
      </c>
      <c r="FL57">
        <v>1585.45</v>
      </c>
      <c r="FM57">
        <v>9.58</v>
      </c>
      <c r="FN57">
        <v>0</v>
      </c>
      <c r="FO57">
        <v>1685756761.5999999</v>
      </c>
      <c r="FP57">
        <v>0</v>
      </c>
      <c r="FQ57">
        <v>344.19756000000001</v>
      </c>
      <c r="FR57">
        <v>-17.529076946035069</v>
      </c>
      <c r="FS57">
        <v>-512.63077084100075</v>
      </c>
      <c r="FT57">
        <v>8179.4483999999993</v>
      </c>
      <c r="FU57">
        <v>15</v>
      </c>
      <c r="FV57">
        <v>1707843540</v>
      </c>
      <c r="FW57" t="s">
        <v>487</v>
      </c>
      <c r="FX57">
        <v>1707843539.5</v>
      </c>
      <c r="FY57">
        <v>1707843540</v>
      </c>
      <c r="FZ57">
        <v>1</v>
      </c>
      <c r="GA57">
        <v>-0.112</v>
      </c>
      <c r="GB57">
        <v>6.8000000000000005E-2</v>
      </c>
      <c r="GC57">
        <v>-2.09</v>
      </c>
      <c r="GD57">
        <v>0.03</v>
      </c>
      <c r="GE57">
        <v>400</v>
      </c>
      <c r="GF57">
        <v>11</v>
      </c>
      <c r="GG57">
        <v>0.28000000000000003</v>
      </c>
      <c r="GH57">
        <v>0.05</v>
      </c>
      <c r="GI57">
        <v>2.665242986738916</v>
      </c>
      <c r="GJ57">
        <v>9.3911367778770377E-2</v>
      </c>
      <c r="GK57">
        <v>3.8137933161042789E-2</v>
      </c>
      <c r="GL57">
        <v>1</v>
      </c>
      <c r="GM57">
        <v>2.309640365738486E-2</v>
      </c>
      <c r="GN57">
        <v>-1.8564903460823179E-2</v>
      </c>
      <c r="GO57">
        <v>2.3374285119337262E-3</v>
      </c>
      <c r="GP57">
        <v>1</v>
      </c>
      <c r="GQ57">
        <v>2</v>
      </c>
      <c r="GR57">
        <v>2</v>
      </c>
      <c r="GS57" t="s">
        <v>512</v>
      </c>
      <c r="GT57">
        <v>3.3660999999999999</v>
      </c>
      <c r="GU57">
        <v>2.7786200000000001</v>
      </c>
      <c r="GV57">
        <v>9.5928600000000003E-2</v>
      </c>
      <c r="GW57">
        <v>9.5727900000000005E-2</v>
      </c>
      <c r="GX57">
        <v>7.9805299999999996E-2</v>
      </c>
      <c r="GY57">
        <v>7.6957600000000001E-2</v>
      </c>
      <c r="GZ57">
        <v>21177.7</v>
      </c>
      <c r="HA57">
        <v>21766.799999999999</v>
      </c>
      <c r="HB57">
        <v>24891</v>
      </c>
      <c r="HC57">
        <v>25489.7</v>
      </c>
      <c r="HD57">
        <v>34829.1</v>
      </c>
      <c r="HE57">
        <v>35177.5</v>
      </c>
      <c r="HF57">
        <v>41614.699999999997</v>
      </c>
      <c r="HG57">
        <v>41250.300000000003</v>
      </c>
      <c r="HH57">
        <v>2.2437399999999998</v>
      </c>
      <c r="HI57">
        <v>2.2746</v>
      </c>
      <c r="HJ57">
        <v>7.8579800000000005E-2</v>
      </c>
      <c r="HK57">
        <v>0</v>
      </c>
      <c r="HL57">
        <v>28.445599999999999</v>
      </c>
      <c r="HM57">
        <v>999.9</v>
      </c>
      <c r="HN57">
        <v>44.4</v>
      </c>
      <c r="HO57">
        <v>33</v>
      </c>
      <c r="HP57">
        <v>22.026499999999999</v>
      </c>
      <c r="HQ57">
        <v>60.58</v>
      </c>
      <c r="HR57">
        <v>7.1033600000000003</v>
      </c>
      <c r="HS57">
        <v>2</v>
      </c>
      <c r="HT57">
        <v>8.8306899999999994E-2</v>
      </c>
      <c r="HU57">
        <v>0</v>
      </c>
      <c r="HV57">
        <v>20.365200000000002</v>
      </c>
      <c r="HW57">
        <v>5.2013600000000002</v>
      </c>
      <c r="HX57">
        <v>11.924799999999999</v>
      </c>
      <c r="HY57">
        <v>4.99024</v>
      </c>
      <c r="HZ57">
        <v>3.28138</v>
      </c>
      <c r="IA57">
        <v>9999</v>
      </c>
      <c r="IB57">
        <v>9999</v>
      </c>
      <c r="IC57">
        <v>9999</v>
      </c>
      <c r="ID57">
        <v>155.6</v>
      </c>
      <c r="IE57">
        <v>4.9720599999999999</v>
      </c>
      <c r="IF57">
        <v>1.85883</v>
      </c>
      <c r="IG57">
        <v>1.8678900000000001</v>
      </c>
      <c r="IH57">
        <v>1.8632299999999999</v>
      </c>
      <c r="II57">
        <v>1.8652299999999999</v>
      </c>
      <c r="IJ57">
        <v>1.8615299999999999</v>
      </c>
      <c r="IK57">
        <v>1.8636900000000001</v>
      </c>
      <c r="IL57">
        <v>1.8614200000000001</v>
      </c>
      <c r="IM57">
        <v>0</v>
      </c>
      <c r="IN57">
        <v>0</v>
      </c>
      <c r="IO57">
        <v>0</v>
      </c>
      <c r="IP57">
        <v>0</v>
      </c>
      <c r="IQ57" t="s">
        <v>443</v>
      </c>
      <c r="IR57" t="s">
        <v>444</v>
      </c>
      <c r="IS57" t="s">
        <v>445</v>
      </c>
      <c r="IT57" t="s">
        <v>445</v>
      </c>
      <c r="IU57" t="s">
        <v>445</v>
      </c>
      <c r="IV57" t="s">
        <v>445</v>
      </c>
      <c r="IW57">
        <v>0</v>
      </c>
      <c r="IX57">
        <v>100</v>
      </c>
      <c r="IY57">
        <v>100</v>
      </c>
      <c r="IZ57">
        <v>-2.0859999999999999</v>
      </c>
      <c r="JA57">
        <v>8.5500000000000007E-2</v>
      </c>
      <c r="JB57">
        <v>-1.252214354925264</v>
      </c>
      <c r="JC57">
        <v>-2.4932477295996069E-3</v>
      </c>
      <c r="JD57">
        <v>1.159696634280317E-6</v>
      </c>
      <c r="JE57">
        <v>-3.5013845820821591E-10</v>
      </c>
      <c r="JF57">
        <v>-1.8539783221661419E-2</v>
      </c>
      <c r="JG57">
        <v>-7.5935071553627593E-3</v>
      </c>
      <c r="JH57">
        <v>1.367325239740887E-3</v>
      </c>
      <c r="JI57">
        <v>-2.2944115828177239E-5</v>
      </c>
      <c r="JJ57">
        <v>2</v>
      </c>
      <c r="JK57">
        <v>2118</v>
      </c>
      <c r="JL57">
        <v>1</v>
      </c>
      <c r="JM57">
        <v>27</v>
      </c>
      <c r="JN57">
        <v>313.5</v>
      </c>
      <c r="JO57">
        <v>313.5</v>
      </c>
      <c r="JP57">
        <v>1.27441</v>
      </c>
      <c r="JQ57">
        <v>2.5622600000000002</v>
      </c>
      <c r="JR57">
        <v>2.19604</v>
      </c>
      <c r="JS57">
        <v>2.6965300000000001</v>
      </c>
      <c r="JT57">
        <v>2.1496599999999999</v>
      </c>
      <c r="JU57">
        <v>2.4584999999999999</v>
      </c>
      <c r="JV57">
        <v>37.313800000000001</v>
      </c>
      <c r="JW57">
        <v>13.580399999999999</v>
      </c>
      <c r="JX57">
        <v>18</v>
      </c>
      <c r="JY57">
        <v>617.98099999999999</v>
      </c>
      <c r="JZ57">
        <v>708.60699999999997</v>
      </c>
      <c r="KA57">
        <v>28.826499999999999</v>
      </c>
      <c r="KB57">
        <v>28.674499999999998</v>
      </c>
      <c r="KC57">
        <v>29.9998</v>
      </c>
      <c r="KD57">
        <v>28.6008</v>
      </c>
      <c r="KE57">
        <v>28.577300000000001</v>
      </c>
      <c r="KF57">
        <v>25.5808</v>
      </c>
      <c r="KG57">
        <v>40.695099999999996</v>
      </c>
      <c r="KH57">
        <v>52.945</v>
      </c>
      <c r="KI57">
        <v>-999.9</v>
      </c>
      <c r="KJ57">
        <v>400</v>
      </c>
      <c r="KK57">
        <v>13.7395</v>
      </c>
      <c r="KL57">
        <v>100.879</v>
      </c>
      <c r="KM57">
        <v>100.86499999999999</v>
      </c>
    </row>
    <row r="58" spans="1:299" x14ac:dyDescent="0.2">
      <c r="A58">
        <v>42</v>
      </c>
      <c r="B58" t="s">
        <v>538</v>
      </c>
      <c r="C58">
        <v>6</v>
      </c>
      <c r="D58">
        <v>1707862436.0999999</v>
      </c>
      <c r="E58">
        <v>677.5</v>
      </c>
      <c r="F58" t="s">
        <v>529</v>
      </c>
      <c r="G58" t="s">
        <v>530</v>
      </c>
      <c r="H58" t="s">
        <v>436</v>
      </c>
      <c r="I58" t="s">
        <v>437</v>
      </c>
      <c r="J58" t="s">
        <v>438</v>
      </c>
      <c r="M58" t="s">
        <v>438</v>
      </c>
      <c r="O58">
        <v>1707862436.0999999</v>
      </c>
      <c r="P58">
        <f t="shared" si="0"/>
        <v>6.7645920440962423E-4</v>
      </c>
      <c r="Q58">
        <f t="shared" si="1"/>
        <v>0.67645920440962426</v>
      </c>
      <c r="R58">
        <f t="shared" si="2"/>
        <v>3.1105880012787468</v>
      </c>
      <c r="S58">
        <f t="shared" si="3"/>
        <v>397.37</v>
      </c>
      <c r="T58">
        <f t="shared" si="4"/>
        <v>174.73586542174843</v>
      </c>
      <c r="U58">
        <f t="shared" si="5"/>
        <v>17.810917572668078</v>
      </c>
      <c r="V58">
        <f t="shared" si="6"/>
        <v>40.504130613188991</v>
      </c>
      <c r="W58">
        <f t="shared" si="7"/>
        <v>2.383617815539827E-2</v>
      </c>
      <c r="X58">
        <f t="shared" si="8"/>
        <v>2.9664012996986227</v>
      </c>
      <c r="Y58">
        <f t="shared" si="9"/>
        <v>2.3730281430370186E-2</v>
      </c>
      <c r="Z58">
        <f t="shared" si="10"/>
        <v>1.4840900955365676E-2</v>
      </c>
      <c r="AA58">
        <f t="shared" si="11"/>
        <v>304.57359993546999</v>
      </c>
      <c r="AB58">
        <f t="shared" si="12"/>
        <v>31.338539845908162</v>
      </c>
      <c r="AC58">
        <f t="shared" si="13"/>
        <v>30.211300000000001</v>
      </c>
      <c r="AD58">
        <f t="shared" si="14"/>
        <v>4.3124327025953511</v>
      </c>
      <c r="AE58">
        <f t="shared" si="15"/>
        <v>35.486962042153188</v>
      </c>
      <c r="AF58">
        <f t="shared" si="16"/>
        <v>1.4894801052201898</v>
      </c>
      <c r="AG58">
        <f t="shared" si="17"/>
        <v>4.1972601189442784</v>
      </c>
      <c r="AH58">
        <f t="shared" si="18"/>
        <v>2.8229525973751612</v>
      </c>
      <c r="AI58">
        <f t="shared" si="19"/>
        <v>-29.831850914464429</v>
      </c>
      <c r="AJ58">
        <f t="shared" si="20"/>
        <v>-75.356484180838677</v>
      </c>
      <c r="AK58">
        <f t="shared" si="21"/>
        <v>-5.6471014281326726</v>
      </c>
      <c r="AL58">
        <f t="shared" si="22"/>
        <v>193.73816341203423</v>
      </c>
      <c r="AM58">
        <f t="shared" si="23"/>
        <v>2.87220589192947</v>
      </c>
      <c r="AN58">
        <f t="shared" si="24"/>
        <v>0.60525376367241657</v>
      </c>
      <c r="AO58">
        <f t="shared" si="25"/>
        <v>3.1105880012787468</v>
      </c>
      <c r="AP58">
        <v>405.75391130562338</v>
      </c>
      <c r="AQ58">
        <v>403.2938363636361</v>
      </c>
      <c r="AR58">
        <v>-6.3072897883109741E-2</v>
      </c>
      <c r="AS58">
        <v>67.026219147925588</v>
      </c>
      <c r="AT58">
        <f t="shared" si="26"/>
        <v>0.67645920440962426</v>
      </c>
      <c r="AU58">
        <v>14.11491012054687</v>
      </c>
      <c r="AV58">
        <v>14.60753636363637</v>
      </c>
      <c r="AW58">
        <v>1.7322202036898531E-2</v>
      </c>
      <c r="AX58">
        <v>78.658151825092119</v>
      </c>
      <c r="AY58">
        <v>14</v>
      </c>
      <c r="AZ58">
        <v>2</v>
      </c>
      <c r="BA58">
        <f t="shared" si="27"/>
        <v>1</v>
      </c>
      <c r="BB58">
        <f t="shared" si="28"/>
        <v>0</v>
      </c>
      <c r="BC58">
        <f t="shared" si="29"/>
        <v>53501.375436975817</v>
      </c>
      <c r="BD58" t="s">
        <v>439</v>
      </c>
      <c r="BE58" t="s">
        <v>439</v>
      </c>
      <c r="BF58">
        <v>0</v>
      </c>
      <c r="BG58">
        <v>0</v>
      </c>
      <c r="BH58" t="e">
        <f t="shared" si="30"/>
        <v>#DIV/0!</v>
      </c>
      <c r="BI58">
        <v>0</v>
      </c>
      <c r="BJ58" t="s">
        <v>439</v>
      </c>
      <c r="BK58" t="s">
        <v>439</v>
      </c>
      <c r="BL58">
        <v>0</v>
      </c>
      <c r="BM58">
        <v>0</v>
      </c>
      <c r="BN58" t="e">
        <f t="shared" si="31"/>
        <v>#DIV/0!</v>
      </c>
      <c r="BO58">
        <v>0.5</v>
      </c>
      <c r="BP58">
        <f t="shared" si="32"/>
        <v>1344.2867999677351</v>
      </c>
      <c r="BQ58">
        <f t="shared" si="33"/>
        <v>3.1105880012787468</v>
      </c>
      <c r="BR58" t="e">
        <f t="shared" si="34"/>
        <v>#DIV/0!</v>
      </c>
      <c r="BS58">
        <f t="shared" si="35"/>
        <v>2.313931819722849E-3</v>
      </c>
      <c r="BT58" t="e">
        <f t="shared" si="36"/>
        <v>#DIV/0!</v>
      </c>
      <c r="BU58" t="e">
        <f t="shared" si="37"/>
        <v>#DIV/0!</v>
      </c>
      <c r="BV58" t="s">
        <v>439</v>
      </c>
      <c r="BW58">
        <v>0</v>
      </c>
      <c r="BX58" t="e">
        <f t="shared" si="38"/>
        <v>#DIV/0!</v>
      </c>
      <c r="BY58" t="e">
        <f t="shared" si="39"/>
        <v>#DIV/0!</v>
      </c>
      <c r="BZ58" t="e">
        <f t="shared" si="40"/>
        <v>#DIV/0!</v>
      </c>
      <c r="CA58" t="e">
        <f t="shared" si="41"/>
        <v>#DIV/0!</v>
      </c>
      <c r="CB58" t="e">
        <f t="shared" si="42"/>
        <v>#DIV/0!</v>
      </c>
      <c r="CC58" t="e">
        <f t="shared" si="43"/>
        <v>#DIV/0!</v>
      </c>
      <c r="CD58" t="e">
        <f t="shared" si="44"/>
        <v>#DIV/0!</v>
      </c>
      <c r="CE58" t="e">
        <f t="shared" si="45"/>
        <v>#DIV/0!</v>
      </c>
      <c r="DN58">
        <f t="shared" si="46"/>
        <v>1600</v>
      </c>
      <c r="DO58">
        <f t="shared" si="47"/>
        <v>1344.2867999677351</v>
      </c>
      <c r="DP58">
        <f t="shared" si="48"/>
        <v>0.8401792499798344</v>
      </c>
      <c r="DQ58">
        <f t="shared" si="49"/>
        <v>0.19035849995966875</v>
      </c>
      <c r="DR58">
        <v>6</v>
      </c>
      <c r="DS58">
        <v>0.5</v>
      </c>
      <c r="DT58" t="s">
        <v>440</v>
      </c>
      <c r="DU58">
        <v>2</v>
      </c>
      <c r="DV58" t="b">
        <v>1</v>
      </c>
      <c r="DW58">
        <v>1707862436.0999999</v>
      </c>
      <c r="DX58">
        <v>397.37</v>
      </c>
      <c r="DY58">
        <v>400.03800000000001</v>
      </c>
      <c r="DZ58">
        <v>14.6127</v>
      </c>
      <c r="EA58">
        <v>14.1015</v>
      </c>
      <c r="EB58">
        <v>399.45499999999998</v>
      </c>
      <c r="EC58">
        <v>14.523400000000001</v>
      </c>
      <c r="ED58">
        <v>700.01099999999997</v>
      </c>
      <c r="EE58">
        <v>101.84099999999999</v>
      </c>
      <c r="EF58">
        <v>8.9519699999999994E-2</v>
      </c>
      <c r="EG58">
        <v>29.740100000000002</v>
      </c>
      <c r="EH58">
        <v>30.211300000000001</v>
      </c>
      <c r="EI58">
        <v>999.9</v>
      </c>
      <c r="EJ58">
        <v>0</v>
      </c>
      <c r="EK58">
        <v>0</v>
      </c>
      <c r="EL58">
        <v>10027</v>
      </c>
      <c r="EM58">
        <v>0</v>
      </c>
      <c r="EN58">
        <v>1.91117E-3</v>
      </c>
      <c r="EO58">
        <v>-2.6682999999999999</v>
      </c>
      <c r="EP58">
        <v>403.26299999999998</v>
      </c>
      <c r="EQ58">
        <v>405.76</v>
      </c>
      <c r="ER58">
        <v>0.51122500000000004</v>
      </c>
      <c r="ES58">
        <v>400.03800000000001</v>
      </c>
      <c r="ET58">
        <v>14.1015</v>
      </c>
      <c r="EU58">
        <v>1.48817</v>
      </c>
      <c r="EV58">
        <v>1.43611</v>
      </c>
      <c r="EW58">
        <v>12.847200000000001</v>
      </c>
      <c r="EX58">
        <v>12.304399999999999</v>
      </c>
      <c r="EY58">
        <v>1600</v>
      </c>
      <c r="EZ58">
        <v>0.99400699999999997</v>
      </c>
      <c r="FA58">
        <v>5.9926299999999997E-3</v>
      </c>
      <c r="FB58">
        <v>0</v>
      </c>
      <c r="FC58">
        <v>310.51400000000001</v>
      </c>
      <c r="FD58">
        <v>5.0001800000000003</v>
      </c>
      <c r="FE58">
        <v>6944.98</v>
      </c>
      <c r="FF58">
        <v>13735.6</v>
      </c>
      <c r="FG58">
        <v>37.875</v>
      </c>
      <c r="FH58">
        <v>39.561999999999998</v>
      </c>
      <c r="FI58">
        <v>38.5</v>
      </c>
      <c r="FJ58">
        <v>39.061999999999998</v>
      </c>
      <c r="FK58">
        <v>39.125</v>
      </c>
      <c r="FL58">
        <v>1585.44</v>
      </c>
      <c r="FM58">
        <v>9.56</v>
      </c>
      <c r="FN58">
        <v>0</v>
      </c>
      <c r="FO58">
        <v>1685756846.2</v>
      </c>
      <c r="FP58">
        <v>0</v>
      </c>
      <c r="FQ58">
        <v>314.5928076923077</v>
      </c>
      <c r="FR58">
        <v>-38.801264980865447</v>
      </c>
      <c r="FS58">
        <v>-832.480684029695</v>
      </c>
      <c r="FT58">
        <v>7019.3523076923093</v>
      </c>
      <c r="FU58">
        <v>15</v>
      </c>
      <c r="FV58">
        <v>1707843540</v>
      </c>
      <c r="FW58" t="s">
        <v>487</v>
      </c>
      <c r="FX58">
        <v>1707843539.5</v>
      </c>
      <c r="FY58">
        <v>1707843540</v>
      </c>
      <c r="FZ58">
        <v>1</v>
      </c>
      <c r="GA58">
        <v>-0.112</v>
      </c>
      <c r="GB58">
        <v>6.8000000000000005E-2</v>
      </c>
      <c r="GC58">
        <v>-2.09</v>
      </c>
      <c r="GD58">
        <v>0.03</v>
      </c>
      <c r="GE58">
        <v>400</v>
      </c>
      <c r="GF58">
        <v>11</v>
      </c>
      <c r="GG58">
        <v>0.28000000000000003</v>
      </c>
      <c r="GH58">
        <v>0.05</v>
      </c>
      <c r="GI58">
        <v>2.643273509740327</v>
      </c>
      <c r="GJ58">
        <v>7.7119065928856347</v>
      </c>
      <c r="GK58">
        <v>1.943097910236975</v>
      </c>
      <c r="GL58">
        <v>0</v>
      </c>
      <c r="GM58">
        <v>2.5173159194614429E-2</v>
      </c>
      <c r="GN58">
        <v>2.4418281008124949E-2</v>
      </c>
      <c r="GO58">
        <v>1.5759399257572401E-2</v>
      </c>
      <c r="GP58">
        <v>1</v>
      </c>
      <c r="GQ58">
        <v>1</v>
      </c>
      <c r="GR58">
        <v>2</v>
      </c>
      <c r="GS58" t="s">
        <v>460</v>
      </c>
      <c r="GT58">
        <v>3.3661400000000001</v>
      </c>
      <c r="GU58">
        <v>2.7839800000000001</v>
      </c>
      <c r="GV58">
        <v>9.5890100000000006E-2</v>
      </c>
      <c r="GW58">
        <v>9.5735200000000006E-2</v>
      </c>
      <c r="GX58">
        <v>8.0711900000000003E-2</v>
      </c>
      <c r="GY58">
        <v>7.8163499999999997E-2</v>
      </c>
      <c r="GZ58">
        <v>21180.5</v>
      </c>
      <c r="HA58">
        <v>21768.7</v>
      </c>
      <c r="HB58">
        <v>24893.200000000001</v>
      </c>
      <c r="HC58">
        <v>25492</v>
      </c>
      <c r="HD58">
        <v>34797.9</v>
      </c>
      <c r="HE58">
        <v>35135.1</v>
      </c>
      <c r="HF58">
        <v>41618.6</v>
      </c>
      <c r="HG58">
        <v>41254.5</v>
      </c>
      <c r="HH58">
        <v>2.3752800000000001</v>
      </c>
      <c r="HI58">
        <v>2.2746200000000001</v>
      </c>
      <c r="HJ58">
        <v>0.101036</v>
      </c>
      <c r="HK58">
        <v>0</v>
      </c>
      <c r="HL58">
        <v>28.5654</v>
      </c>
      <c r="HM58">
        <v>999.9</v>
      </c>
      <c r="HN58">
        <v>43.2</v>
      </c>
      <c r="HO58">
        <v>33.1</v>
      </c>
      <c r="HP58">
        <v>21.551400000000001</v>
      </c>
      <c r="HQ58">
        <v>61.35</v>
      </c>
      <c r="HR58">
        <v>7.7243599999999999</v>
      </c>
      <c r="HS58">
        <v>2</v>
      </c>
      <c r="HT58">
        <v>8.5802799999999999E-2</v>
      </c>
      <c r="HU58">
        <v>0</v>
      </c>
      <c r="HV58">
        <v>20.364899999999999</v>
      </c>
      <c r="HW58">
        <v>5.2021899999999999</v>
      </c>
      <c r="HX58">
        <v>11.9254</v>
      </c>
      <c r="HY58">
        <v>4.99024</v>
      </c>
      <c r="HZ58">
        <v>3.2814000000000001</v>
      </c>
      <c r="IA58">
        <v>9999</v>
      </c>
      <c r="IB58">
        <v>9999</v>
      </c>
      <c r="IC58">
        <v>9999</v>
      </c>
      <c r="ID58">
        <v>155.6</v>
      </c>
      <c r="IE58">
        <v>4.97201</v>
      </c>
      <c r="IF58">
        <v>1.85883</v>
      </c>
      <c r="IG58">
        <v>1.86795</v>
      </c>
      <c r="IH58">
        <v>1.8632500000000001</v>
      </c>
      <c r="II58">
        <v>1.86524</v>
      </c>
      <c r="IJ58">
        <v>1.86155</v>
      </c>
      <c r="IK58">
        <v>1.86368</v>
      </c>
      <c r="IL58">
        <v>1.8614200000000001</v>
      </c>
      <c r="IM58">
        <v>0</v>
      </c>
      <c r="IN58">
        <v>0</v>
      </c>
      <c r="IO58">
        <v>0</v>
      </c>
      <c r="IP58">
        <v>0</v>
      </c>
      <c r="IQ58" t="s">
        <v>443</v>
      </c>
      <c r="IR58" t="s">
        <v>444</v>
      </c>
      <c r="IS58" t="s">
        <v>445</v>
      </c>
      <c r="IT58" t="s">
        <v>445</v>
      </c>
      <c r="IU58" t="s">
        <v>445</v>
      </c>
      <c r="IV58" t="s">
        <v>445</v>
      </c>
      <c r="IW58">
        <v>0</v>
      </c>
      <c r="IX58">
        <v>100</v>
      </c>
      <c r="IY58">
        <v>100</v>
      </c>
      <c r="IZ58">
        <v>-2.085</v>
      </c>
      <c r="JA58">
        <v>8.9300000000000004E-2</v>
      </c>
      <c r="JB58">
        <v>-1.252214354925264</v>
      </c>
      <c r="JC58">
        <v>-2.4932477295996069E-3</v>
      </c>
      <c r="JD58">
        <v>1.159696634280317E-6</v>
      </c>
      <c r="JE58">
        <v>-3.5013845820821591E-10</v>
      </c>
      <c r="JF58">
        <v>-1.8539783221661419E-2</v>
      </c>
      <c r="JG58">
        <v>-7.5935071553627593E-3</v>
      </c>
      <c r="JH58">
        <v>1.367325239740887E-3</v>
      </c>
      <c r="JI58">
        <v>-2.2944115828177239E-5</v>
      </c>
      <c r="JJ58">
        <v>2</v>
      </c>
      <c r="JK58">
        <v>2118</v>
      </c>
      <c r="JL58">
        <v>1</v>
      </c>
      <c r="JM58">
        <v>27</v>
      </c>
      <c r="JN58">
        <v>314.89999999999998</v>
      </c>
      <c r="JO58">
        <v>314.89999999999998</v>
      </c>
      <c r="JP58">
        <v>1.27563</v>
      </c>
      <c r="JQ58">
        <v>2.5659200000000002</v>
      </c>
      <c r="JR58">
        <v>2.19604</v>
      </c>
      <c r="JS58">
        <v>2.6989700000000001</v>
      </c>
      <c r="JT58">
        <v>2.1484399999999999</v>
      </c>
      <c r="JU58">
        <v>2.4365199999999998</v>
      </c>
      <c r="JV58">
        <v>37.602200000000003</v>
      </c>
      <c r="JW58">
        <v>13.5541</v>
      </c>
      <c r="JX58">
        <v>18</v>
      </c>
      <c r="JY58">
        <v>716.34799999999996</v>
      </c>
      <c r="JZ58">
        <v>708.76900000000001</v>
      </c>
      <c r="KA58">
        <v>28.9236</v>
      </c>
      <c r="KB58">
        <v>28.6633</v>
      </c>
      <c r="KC58">
        <v>30.0001</v>
      </c>
      <c r="KD58">
        <v>28.605699999999999</v>
      </c>
      <c r="KE58">
        <v>28.589400000000001</v>
      </c>
      <c r="KF58">
        <v>25.5913</v>
      </c>
      <c r="KG58">
        <v>38.533499999999997</v>
      </c>
      <c r="KH58">
        <v>49.883099999999999</v>
      </c>
      <c r="KI58">
        <v>-999.9</v>
      </c>
      <c r="KJ58">
        <v>400</v>
      </c>
      <c r="KK58">
        <v>13.8994</v>
      </c>
      <c r="KL58">
        <v>100.88800000000001</v>
      </c>
      <c r="KM58">
        <v>100.875</v>
      </c>
    </row>
    <row r="59" spans="1:299" x14ac:dyDescent="0.2">
      <c r="A59">
        <v>43</v>
      </c>
      <c r="B59" t="s">
        <v>538</v>
      </c>
      <c r="C59">
        <v>7</v>
      </c>
      <c r="D59">
        <v>1707862532.5999999</v>
      </c>
      <c r="E59">
        <v>774</v>
      </c>
      <c r="F59" t="s">
        <v>531</v>
      </c>
      <c r="G59" t="s">
        <v>532</v>
      </c>
      <c r="H59" t="s">
        <v>436</v>
      </c>
      <c r="I59" t="s">
        <v>437</v>
      </c>
      <c r="J59" t="s">
        <v>438</v>
      </c>
      <c r="M59" t="s">
        <v>438</v>
      </c>
      <c r="O59">
        <v>1707862532.5999999</v>
      </c>
      <c r="P59">
        <f t="shared" si="0"/>
        <v>7.1389456344401352E-4</v>
      </c>
      <c r="Q59">
        <f t="shared" si="1"/>
        <v>0.71389456344401347</v>
      </c>
      <c r="R59">
        <f t="shared" si="2"/>
        <v>3.2467798749971526</v>
      </c>
      <c r="S59">
        <f t="shared" si="3"/>
        <v>397.35</v>
      </c>
      <c r="T59">
        <f t="shared" si="4"/>
        <v>170.21098920570364</v>
      </c>
      <c r="U59">
        <f t="shared" si="5"/>
        <v>17.349532139020365</v>
      </c>
      <c r="V59">
        <f t="shared" si="6"/>
        <v>40.501712771954999</v>
      </c>
      <c r="W59">
        <f t="shared" si="7"/>
        <v>2.4393129010578791E-2</v>
      </c>
      <c r="X59">
        <f t="shared" si="8"/>
        <v>2.9583769103211295</v>
      </c>
      <c r="Y59">
        <f t="shared" si="9"/>
        <v>2.4281938874006141E-2</v>
      </c>
      <c r="Z59">
        <f t="shared" si="10"/>
        <v>1.5186159415079205E-2</v>
      </c>
      <c r="AA59">
        <f t="shared" si="11"/>
        <v>304.55579993533098</v>
      </c>
      <c r="AB59">
        <f t="shared" si="12"/>
        <v>31.63790377437175</v>
      </c>
      <c r="AC59">
        <f t="shared" si="13"/>
        <v>30.646899999999999</v>
      </c>
      <c r="AD59">
        <f t="shared" si="14"/>
        <v>4.4213436560515795</v>
      </c>
      <c r="AE59">
        <f t="shared" si="15"/>
        <v>35.392128373370468</v>
      </c>
      <c r="AF59">
        <f t="shared" si="16"/>
        <v>1.5118091195730698</v>
      </c>
      <c r="AG59">
        <f t="shared" si="17"/>
        <v>4.2715970727281158</v>
      </c>
      <c r="AH59">
        <f t="shared" si="18"/>
        <v>2.9095345364785095</v>
      </c>
      <c r="AI59">
        <f t="shared" si="19"/>
        <v>-31.482750247880997</v>
      </c>
      <c r="AJ59">
        <f t="shared" si="20"/>
        <v>-95.91849841592429</v>
      </c>
      <c r="AK59">
        <f t="shared" si="21"/>
        <v>-7.2339612571701402</v>
      </c>
      <c r="AL59">
        <f t="shared" si="22"/>
        <v>169.92059001435555</v>
      </c>
      <c r="AM59">
        <f t="shared" si="23"/>
        <v>2.8873352495451869</v>
      </c>
      <c r="AN59">
        <f t="shared" si="24"/>
        <v>0.63707808511731645</v>
      </c>
      <c r="AO59">
        <f t="shared" si="25"/>
        <v>3.2467798749971526</v>
      </c>
      <c r="AP59">
        <v>405.81905039625872</v>
      </c>
      <c r="AQ59">
        <v>403.38214545454542</v>
      </c>
      <c r="AR59">
        <v>-9.9924251136675357E-2</v>
      </c>
      <c r="AS59">
        <v>67.026214389153822</v>
      </c>
      <c r="AT59">
        <f t="shared" si="26"/>
        <v>0.71389456344401347</v>
      </c>
      <c r="AU59">
        <v>14.34283120645936</v>
      </c>
      <c r="AV59">
        <v>14.82629272727273</v>
      </c>
      <c r="AW59">
        <v>2.6302746557704679E-2</v>
      </c>
      <c r="AX59">
        <v>78.655428497909654</v>
      </c>
      <c r="AY59">
        <v>41</v>
      </c>
      <c r="AZ59">
        <v>6</v>
      </c>
      <c r="BA59">
        <f t="shared" si="27"/>
        <v>1</v>
      </c>
      <c r="BB59">
        <f t="shared" si="28"/>
        <v>0</v>
      </c>
      <c r="BC59">
        <f t="shared" si="29"/>
        <v>53214.843181327458</v>
      </c>
      <c r="BD59" t="s">
        <v>439</v>
      </c>
      <c r="BE59" t="s">
        <v>439</v>
      </c>
      <c r="BF59">
        <v>0</v>
      </c>
      <c r="BG59">
        <v>0</v>
      </c>
      <c r="BH59" t="e">
        <f t="shared" si="30"/>
        <v>#DIV/0!</v>
      </c>
      <c r="BI59">
        <v>0</v>
      </c>
      <c r="BJ59" t="s">
        <v>439</v>
      </c>
      <c r="BK59" t="s">
        <v>439</v>
      </c>
      <c r="BL59">
        <v>0</v>
      </c>
      <c r="BM59">
        <v>0</v>
      </c>
      <c r="BN59" t="e">
        <f t="shared" si="31"/>
        <v>#DIV/0!</v>
      </c>
      <c r="BO59">
        <v>0.5</v>
      </c>
      <c r="BP59">
        <f t="shared" si="32"/>
        <v>1344.2033999676657</v>
      </c>
      <c r="BQ59">
        <f t="shared" si="33"/>
        <v>3.2467798749971526</v>
      </c>
      <c r="BR59" t="e">
        <f t="shared" si="34"/>
        <v>#DIV/0!</v>
      </c>
      <c r="BS59">
        <f t="shared" si="35"/>
        <v>2.4153932917259789E-3</v>
      </c>
      <c r="BT59" t="e">
        <f t="shared" si="36"/>
        <v>#DIV/0!</v>
      </c>
      <c r="BU59" t="e">
        <f t="shared" si="37"/>
        <v>#DIV/0!</v>
      </c>
      <c r="BV59" t="s">
        <v>439</v>
      </c>
      <c r="BW59">
        <v>0</v>
      </c>
      <c r="BX59" t="e">
        <f t="shared" si="38"/>
        <v>#DIV/0!</v>
      </c>
      <c r="BY59" t="e">
        <f t="shared" si="39"/>
        <v>#DIV/0!</v>
      </c>
      <c r="BZ59" t="e">
        <f t="shared" si="40"/>
        <v>#DIV/0!</v>
      </c>
      <c r="CA59" t="e">
        <f t="shared" si="41"/>
        <v>#DIV/0!</v>
      </c>
      <c r="CB59" t="e">
        <f t="shared" si="42"/>
        <v>#DIV/0!</v>
      </c>
      <c r="CC59" t="e">
        <f t="shared" si="43"/>
        <v>#DIV/0!</v>
      </c>
      <c r="CD59" t="e">
        <f t="shared" si="44"/>
        <v>#DIV/0!</v>
      </c>
      <c r="CE59" t="e">
        <f t="shared" si="45"/>
        <v>#DIV/0!</v>
      </c>
      <c r="DN59">
        <f t="shared" si="46"/>
        <v>1599.9</v>
      </c>
      <c r="DO59">
        <f t="shared" si="47"/>
        <v>1344.2033999676657</v>
      </c>
      <c r="DP59">
        <f t="shared" si="48"/>
        <v>0.84017963620705394</v>
      </c>
      <c r="DQ59">
        <f t="shared" si="49"/>
        <v>0.19035927241410774</v>
      </c>
      <c r="DR59">
        <v>6</v>
      </c>
      <c r="DS59">
        <v>0.5</v>
      </c>
      <c r="DT59" t="s">
        <v>440</v>
      </c>
      <c r="DU59">
        <v>2</v>
      </c>
      <c r="DV59" t="b">
        <v>1</v>
      </c>
      <c r="DW59">
        <v>1707862532.5999999</v>
      </c>
      <c r="DX59">
        <v>397.35</v>
      </c>
      <c r="DY59">
        <v>400.04199999999997</v>
      </c>
      <c r="DZ59">
        <v>14.831899999999999</v>
      </c>
      <c r="EA59">
        <v>14.293900000000001</v>
      </c>
      <c r="EB59">
        <v>399.435</v>
      </c>
      <c r="EC59">
        <v>14.7387</v>
      </c>
      <c r="ED59">
        <v>699.95799999999997</v>
      </c>
      <c r="EE59">
        <v>101.84099999999999</v>
      </c>
      <c r="EF59">
        <v>8.85653E-2</v>
      </c>
      <c r="EG59">
        <v>30.045500000000001</v>
      </c>
      <c r="EH59">
        <v>30.646899999999999</v>
      </c>
      <c r="EI59">
        <v>999.9</v>
      </c>
      <c r="EJ59">
        <v>0</v>
      </c>
      <c r="EK59">
        <v>0</v>
      </c>
      <c r="EL59">
        <v>9981.5</v>
      </c>
      <c r="EM59">
        <v>0</v>
      </c>
      <c r="EN59">
        <v>1.91117E-3</v>
      </c>
      <c r="EO59">
        <v>-2.69171</v>
      </c>
      <c r="EP59">
        <v>403.33199999999999</v>
      </c>
      <c r="EQ59">
        <v>405.84300000000002</v>
      </c>
      <c r="ER59">
        <v>0.53797399999999995</v>
      </c>
      <c r="ES59">
        <v>400.04199999999997</v>
      </c>
      <c r="ET59">
        <v>14.293900000000001</v>
      </c>
      <c r="EU59">
        <v>1.5104900000000001</v>
      </c>
      <c r="EV59">
        <v>1.4557</v>
      </c>
      <c r="EW59">
        <v>13.0748</v>
      </c>
      <c r="EX59">
        <v>12.5107</v>
      </c>
      <c r="EY59">
        <v>1599.9</v>
      </c>
      <c r="EZ59">
        <v>0.99399099999999996</v>
      </c>
      <c r="FA59">
        <v>6.0085399999999997E-3</v>
      </c>
      <c r="FB59">
        <v>0</v>
      </c>
      <c r="FC59">
        <v>320.83999999999997</v>
      </c>
      <c r="FD59">
        <v>5.0001800000000003</v>
      </c>
      <c r="FE59">
        <v>6987.8</v>
      </c>
      <c r="FF59">
        <v>13734.6</v>
      </c>
      <c r="FG59">
        <v>38.125</v>
      </c>
      <c r="FH59">
        <v>39.936999999999998</v>
      </c>
      <c r="FI59">
        <v>38.686999999999998</v>
      </c>
      <c r="FJ59">
        <v>39.375</v>
      </c>
      <c r="FK59">
        <v>39.375</v>
      </c>
      <c r="FL59">
        <v>1585.32</v>
      </c>
      <c r="FM59">
        <v>9.58</v>
      </c>
      <c r="FN59">
        <v>0</v>
      </c>
      <c r="FO59">
        <v>1685756942.8</v>
      </c>
      <c r="FP59">
        <v>0</v>
      </c>
      <c r="FQ59">
        <v>328.94560000000001</v>
      </c>
      <c r="FR59">
        <v>-76.803077043395518</v>
      </c>
      <c r="FS59">
        <v>-1298.349232673246</v>
      </c>
      <c r="FT59">
        <v>7115.9611999999997</v>
      </c>
      <c r="FU59">
        <v>15</v>
      </c>
      <c r="FV59">
        <v>1707843540</v>
      </c>
      <c r="FW59" t="s">
        <v>487</v>
      </c>
      <c r="FX59">
        <v>1707843539.5</v>
      </c>
      <c r="FY59">
        <v>1707843540</v>
      </c>
      <c r="FZ59">
        <v>1</v>
      </c>
      <c r="GA59">
        <v>-0.112</v>
      </c>
      <c r="GB59">
        <v>6.8000000000000005E-2</v>
      </c>
      <c r="GC59">
        <v>-2.09</v>
      </c>
      <c r="GD59">
        <v>0.03</v>
      </c>
      <c r="GE59">
        <v>400</v>
      </c>
      <c r="GF59">
        <v>11</v>
      </c>
      <c r="GG59">
        <v>0.28000000000000003</v>
      </c>
      <c r="GH59">
        <v>0.05</v>
      </c>
      <c r="GI59">
        <v>1.792542502660623</v>
      </c>
      <c r="GJ59">
        <v>20.893481467470469</v>
      </c>
      <c r="GK59">
        <v>3.5923045816277872</v>
      </c>
      <c r="GL59">
        <v>0</v>
      </c>
      <c r="GM59">
        <v>2.1172069221651359E-2</v>
      </c>
      <c r="GN59">
        <v>8.208167305668608E-2</v>
      </c>
      <c r="GO59">
        <v>2.0117051417998529E-2</v>
      </c>
      <c r="GP59">
        <v>0</v>
      </c>
      <c r="GQ59">
        <v>0</v>
      </c>
      <c r="GR59">
        <v>2</v>
      </c>
      <c r="GS59" t="s">
        <v>442</v>
      </c>
      <c r="GT59">
        <v>3.3661599999999998</v>
      </c>
      <c r="GU59">
        <v>2.7826200000000001</v>
      </c>
      <c r="GV59">
        <v>9.5878000000000005E-2</v>
      </c>
      <c r="GW59">
        <v>9.5725599999999994E-2</v>
      </c>
      <c r="GX59">
        <v>8.1593200000000005E-2</v>
      </c>
      <c r="GY59">
        <v>7.8942700000000005E-2</v>
      </c>
      <c r="GZ59">
        <v>21180.799999999999</v>
      </c>
      <c r="HA59">
        <v>21769</v>
      </c>
      <c r="HB59">
        <v>24893.4</v>
      </c>
      <c r="HC59">
        <v>25492.3</v>
      </c>
      <c r="HD59">
        <v>34764.800000000003</v>
      </c>
      <c r="HE59">
        <v>35106.300000000003</v>
      </c>
      <c r="HF59">
        <v>41619.1</v>
      </c>
      <c r="HG59">
        <v>41255.599999999999</v>
      </c>
      <c r="HH59">
        <v>2.3325999999999998</v>
      </c>
      <c r="HI59">
        <v>2.2732999999999999</v>
      </c>
      <c r="HJ59">
        <v>0.112718</v>
      </c>
      <c r="HK59">
        <v>0</v>
      </c>
      <c r="HL59">
        <v>28.811800000000002</v>
      </c>
      <c r="HM59">
        <v>999.9</v>
      </c>
      <c r="HN59">
        <v>41.8</v>
      </c>
      <c r="HO59">
        <v>33.299999999999997</v>
      </c>
      <c r="HP59">
        <v>21.087900000000001</v>
      </c>
      <c r="HQ59">
        <v>61.11</v>
      </c>
      <c r="HR59">
        <v>7.6602600000000001</v>
      </c>
      <c r="HS59">
        <v>2</v>
      </c>
      <c r="HT59">
        <v>8.7402400000000005E-2</v>
      </c>
      <c r="HU59">
        <v>0</v>
      </c>
      <c r="HV59">
        <v>20.364899999999999</v>
      </c>
      <c r="HW59">
        <v>5.2013600000000002</v>
      </c>
      <c r="HX59">
        <v>11.926</v>
      </c>
      <c r="HY59">
        <v>4.9896799999999999</v>
      </c>
      <c r="HZ59">
        <v>3.28138</v>
      </c>
      <c r="IA59">
        <v>9999</v>
      </c>
      <c r="IB59">
        <v>9999</v>
      </c>
      <c r="IC59">
        <v>9999</v>
      </c>
      <c r="ID59">
        <v>155.6</v>
      </c>
      <c r="IE59">
        <v>4.9720399999999998</v>
      </c>
      <c r="IF59">
        <v>1.85883</v>
      </c>
      <c r="IG59">
        <v>1.86798</v>
      </c>
      <c r="IH59">
        <v>1.8632500000000001</v>
      </c>
      <c r="II59">
        <v>1.8652599999999999</v>
      </c>
      <c r="IJ59">
        <v>1.8615699999999999</v>
      </c>
      <c r="IK59">
        <v>1.86371</v>
      </c>
      <c r="IL59">
        <v>1.86144</v>
      </c>
      <c r="IM59">
        <v>0</v>
      </c>
      <c r="IN59">
        <v>0</v>
      </c>
      <c r="IO59">
        <v>0</v>
      </c>
      <c r="IP59">
        <v>0</v>
      </c>
      <c r="IQ59" t="s">
        <v>443</v>
      </c>
      <c r="IR59" t="s">
        <v>444</v>
      </c>
      <c r="IS59" t="s">
        <v>445</v>
      </c>
      <c r="IT59" t="s">
        <v>445</v>
      </c>
      <c r="IU59" t="s">
        <v>445</v>
      </c>
      <c r="IV59" t="s">
        <v>445</v>
      </c>
      <c r="IW59">
        <v>0</v>
      </c>
      <c r="IX59">
        <v>100</v>
      </c>
      <c r="IY59">
        <v>100</v>
      </c>
      <c r="IZ59">
        <v>-2.085</v>
      </c>
      <c r="JA59">
        <v>9.3200000000000005E-2</v>
      </c>
      <c r="JB59">
        <v>-1.252214354925264</v>
      </c>
      <c r="JC59">
        <v>-2.4932477295996069E-3</v>
      </c>
      <c r="JD59">
        <v>1.159696634280317E-6</v>
      </c>
      <c r="JE59">
        <v>-3.5013845820821591E-10</v>
      </c>
      <c r="JF59">
        <v>-1.8539783221661419E-2</v>
      </c>
      <c r="JG59">
        <v>-7.5935071553627593E-3</v>
      </c>
      <c r="JH59">
        <v>1.367325239740887E-3</v>
      </c>
      <c r="JI59">
        <v>-2.2944115828177239E-5</v>
      </c>
      <c r="JJ59">
        <v>2</v>
      </c>
      <c r="JK59">
        <v>2118</v>
      </c>
      <c r="JL59">
        <v>1</v>
      </c>
      <c r="JM59">
        <v>27</v>
      </c>
      <c r="JN59">
        <v>316.60000000000002</v>
      </c>
      <c r="JO59">
        <v>316.5</v>
      </c>
      <c r="JP59">
        <v>1.27563</v>
      </c>
      <c r="JQ59">
        <v>2.5622600000000002</v>
      </c>
      <c r="JR59">
        <v>2.19604</v>
      </c>
      <c r="JS59">
        <v>2.6977500000000001</v>
      </c>
      <c r="JT59">
        <v>2.1484399999999999</v>
      </c>
      <c r="JU59">
        <v>2.4719199999999999</v>
      </c>
      <c r="JV59">
        <v>37.989100000000001</v>
      </c>
      <c r="JW59">
        <v>13.527900000000001</v>
      </c>
      <c r="JX59">
        <v>18</v>
      </c>
      <c r="JY59">
        <v>683.64400000000001</v>
      </c>
      <c r="JZ59">
        <v>708.23299999999995</v>
      </c>
      <c r="KA59">
        <v>29.123000000000001</v>
      </c>
      <c r="KB59">
        <v>28.715199999999999</v>
      </c>
      <c r="KC59">
        <v>30.0002</v>
      </c>
      <c r="KD59">
        <v>28.648599999999998</v>
      </c>
      <c r="KE59">
        <v>28.639199999999999</v>
      </c>
      <c r="KF59">
        <v>25.603400000000001</v>
      </c>
      <c r="KG59">
        <v>35.828299999999999</v>
      </c>
      <c r="KH59">
        <v>47.2102</v>
      </c>
      <c r="KI59">
        <v>-999.9</v>
      </c>
      <c r="KJ59">
        <v>400</v>
      </c>
      <c r="KK59">
        <v>14.1591</v>
      </c>
      <c r="KL59">
        <v>100.889</v>
      </c>
      <c r="KM59">
        <v>100.877</v>
      </c>
    </row>
    <row r="60" spans="1:299" x14ac:dyDescent="0.2">
      <c r="A60">
        <v>44</v>
      </c>
      <c r="B60" t="s">
        <v>538</v>
      </c>
      <c r="C60">
        <v>8</v>
      </c>
      <c r="D60">
        <v>1707862603.5999999</v>
      </c>
      <c r="E60">
        <v>845</v>
      </c>
      <c r="F60" t="s">
        <v>533</v>
      </c>
      <c r="G60" t="s">
        <v>534</v>
      </c>
      <c r="H60" t="s">
        <v>436</v>
      </c>
      <c r="I60" t="s">
        <v>437</v>
      </c>
      <c r="J60" t="s">
        <v>438</v>
      </c>
      <c r="M60" t="s">
        <v>438</v>
      </c>
      <c r="O60">
        <v>1707862603.5999999</v>
      </c>
      <c r="P60">
        <f t="shared" si="0"/>
        <v>1.5331780762708473E-3</v>
      </c>
      <c r="Q60">
        <f t="shared" si="1"/>
        <v>1.5331780762708473</v>
      </c>
      <c r="R60">
        <f t="shared" si="2"/>
        <v>3.7905373060971868</v>
      </c>
      <c r="S60">
        <f t="shared" si="3"/>
        <v>409.82299999999998</v>
      </c>
      <c r="T60">
        <f t="shared" si="4"/>
        <v>275.86482898688308</v>
      </c>
      <c r="U60">
        <f t="shared" si="5"/>
        <v>28.116813777050528</v>
      </c>
      <c r="V60">
        <f t="shared" si="6"/>
        <v>41.770156111854597</v>
      </c>
      <c r="W60">
        <f t="shared" si="7"/>
        <v>5.1982479111590013E-2</v>
      </c>
      <c r="X60">
        <f t="shared" si="8"/>
        <v>2.9631070766083614</v>
      </c>
      <c r="Y60">
        <f t="shared" si="9"/>
        <v>5.1481119906120087E-2</v>
      </c>
      <c r="Z60">
        <f t="shared" si="10"/>
        <v>3.2220341967484592E-2</v>
      </c>
      <c r="AA60">
        <f t="shared" si="11"/>
        <v>304.60709993534186</v>
      </c>
      <c r="AB60">
        <f t="shared" si="12"/>
        <v>31.571220000784209</v>
      </c>
      <c r="AC60">
        <f t="shared" si="13"/>
        <v>30.499700000000001</v>
      </c>
      <c r="AD60">
        <f t="shared" si="14"/>
        <v>4.3842749330469193</v>
      </c>
      <c r="AE60">
        <f t="shared" si="15"/>
        <v>33.326577787565697</v>
      </c>
      <c r="AF60">
        <f t="shared" si="16"/>
        <v>1.43554685263794</v>
      </c>
      <c r="AG60">
        <f t="shared" si="17"/>
        <v>4.3075135460609735</v>
      </c>
      <c r="AH60">
        <f t="shared" si="18"/>
        <v>2.948728080408979</v>
      </c>
      <c r="AI60">
        <f t="shared" si="19"/>
        <v>-67.613153163544368</v>
      </c>
      <c r="AJ60">
        <f t="shared" si="20"/>
        <v>-49.250008952559966</v>
      </c>
      <c r="AK60">
        <f t="shared" si="21"/>
        <v>-3.7083709735144161</v>
      </c>
      <c r="AL60">
        <f t="shared" si="22"/>
        <v>184.03556684572308</v>
      </c>
      <c r="AM60">
        <f t="shared" si="23"/>
        <v>-11.186792969431691</v>
      </c>
      <c r="AN60">
        <f t="shared" si="24"/>
        <v>-0.7526980197994696</v>
      </c>
      <c r="AO60">
        <f t="shared" si="25"/>
        <v>3.7905373060971868</v>
      </c>
      <c r="AP60">
        <v>405.93803940495189</v>
      </c>
      <c r="AQ60">
        <v>416.92733939393929</v>
      </c>
      <c r="AR60">
        <v>-3.6936355659389841</v>
      </c>
      <c r="AS60">
        <v>67.025840430307724</v>
      </c>
      <c r="AT60">
        <f t="shared" si="26"/>
        <v>1.5331780762708473</v>
      </c>
      <c r="AU60">
        <v>14.673526503526171</v>
      </c>
      <c r="AV60">
        <v>13.965754545454541</v>
      </c>
      <c r="AW60">
        <v>0.44149111301318222</v>
      </c>
      <c r="AX60">
        <v>78.656025220069637</v>
      </c>
      <c r="AY60">
        <v>110</v>
      </c>
      <c r="AZ60">
        <v>16</v>
      </c>
      <c r="BA60">
        <f t="shared" si="27"/>
        <v>1</v>
      </c>
      <c r="BB60">
        <f t="shared" si="28"/>
        <v>0</v>
      </c>
      <c r="BC60">
        <f t="shared" si="29"/>
        <v>53326.194400101238</v>
      </c>
      <c r="BD60" t="s">
        <v>439</v>
      </c>
      <c r="BE60" t="s">
        <v>439</v>
      </c>
      <c r="BF60">
        <v>0</v>
      </c>
      <c r="BG60">
        <v>0</v>
      </c>
      <c r="BH60" t="e">
        <f t="shared" si="30"/>
        <v>#DIV/0!</v>
      </c>
      <c r="BI60">
        <v>0</v>
      </c>
      <c r="BJ60" t="s">
        <v>439</v>
      </c>
      <c r="BK60" t="s">
        <v>439</v>
      </c>
      <c r="BL60">
        <v>0</v>
      </c>
      <c r="BM60">
        <v>0</v>
      </c>
      <c r="BN60" t="e">
        <f t="shared" si="31"/>
        <v>#DIV/0!</v>
      </c>
      <c r="BO60">
        <v>0.5</v>
      </c>
      <c r="BP60">
        <f t="shared" si="32"/>
        <v>1344.4301999676711</v>
      </c>
      <c r="BQ60">
        <f t="shared" si="33"/>
        <v>3.7905373060971868</v>
      </c>
      <c r="BR60" t="e">
        <f t="shared" si="34"/>
        <v>#DIV/0!</v>
      </c>
      <c r="BS60">
        <f t="shared" si="35"/>
        <v>2.8194377857536494E-3</v>
      </c>
      <c r="BT60" t="e">
        <f t="shared" si="36"/>
        <v>#DIV/0!</v>
      </c>
      <c r="BU60" t="e">
        <f t="shared" si="37"/>
        <v>#DIV/0!</v>
      </c>
      <c r="BV60" t="s">
        <v>439</v>
      </c>
      <c r="BW60">
        <v>0</v>
      </c>
      <c r="BX60" t="e">
        <f t="shared" si="38"/>
        <v>#DIV/0!</v>
      </c>
      <c r="BY60" t="e">
        <f t="shared" si="39"/>
        <v>#DIV/0!</v>
      </c>
      <c r="BZ60" t="e">
        <f t="shared" si="40"/>
        <v>#DIV/0!</v>
      </c>
      <c r="CA60" t="e">
        <f t="shared" si="41"/>
        <v>#DIV/0!</v>
      </c>
      <c r="CB60" t="e">
        <f t="shared" si="42"/>
        <v>#DIV/0!</v>
      </c>
      <c r="CC60" t="e">
        <f t="shared" si="43"/>
        <v>#DIV/0!</v>
      </c>
      <c r="CD60" t="e">
        <f t="shared" si="44"/>
        <v>#DIV/0!</v>
      </c>
      <c r="CE60" t="e">
        <f t="shared" si="45"/>
        <v>#DIV/0!</v>
      </c>
      <c r="DN60">
        <f t="shared" si="46"/>
        <v>1600.17</v>
      </c>
      <c r="DO60">
        <f t="shared" si="47"/>
        <v>1344.4301999676711</v>
      </c>
      <c r="DP60">
        <f t="shared" si="48"/>
        <v>0.84017960589666785</v>
      </c>
      <c r="DQ60">
        <f t="shared" si="49"/>
        <v>0.19035921179333562</v>
      </c>
      <c r="DR60">
        <v>6</v>
      </c>
      <c r="DS60">
        <v>0.5</v>
      </c>
      <c r="DT60" t="s">
        <v>440</v>
      </c>
      <c r="DU60">
        <v>2</v>
      </c>
      <c r="DV60" t="b">
        <v>1</v>
      </c>
      <c r="DW60">
        <v>1707862603.5999999</v>
      </c>
      <c r="DX60">
        <v>409.82299999999998</v>
      </c>
      <c r="DY60">
        <v>399.96499999999997</v>
      </c>
      <c r="DZ60">
        <v>14.0847</v>
      </c>
      <c r="EA60">
        <v>14.7211</v>
      </c>
      <c r="EB60">
        <v>411.93</v>
      </c>
      <c r="EC60">
        <v>14.0045</v>
      </c>
      <c r="ED60">
        <v>699.65099999999995</v>
      </c>
      <c r="EE60">
        <v>101.839</v>
      </c>
      <c r="EF60">
        <v>8.3430199999999996E-2</v>
      </c>
      <c r="EG60">
        <v>30.191400000000002</v>
      </c>
      <c r="EH60">
        <v>30.499700000000001</v>
      </c>
      <c r="EI60">
        <v>999.9</v>
      </c>
      <c r="EJ60">
        <v>0</v>
      </c>
      <c r="EK60">
        <v>0</v>
      </c>
      <c r="EL60">
        <v>10008.5</v>
      </c>
      <c r="EM60">
        <v>0</v>
      </c>
      <c r="EN60">
        <v>1.91117E-3</v>
      </c>
      <c r="EO60">
        <v>9.8572699999999998</v>
      </c>
      <c r="EP60">
        <v>415.67700000000002</v>
      </c>
      <c r="EQ60">
        <v>405.94099999999997</v>
      </c>
      <c r="ER60">
        <v>-0.63638700000000004</v>
      </c>
      <c r="ES60">
        <v>399.96499999999997</v>
      </c>
      <c r="ET60">
        <v>14.7211</v>
      </c>
      <c r="EU60">
        <v>1.4343699999999999</v>
      </c>
      <c r="EV60">
        <v>1.49918</v>
      </c>
      <c r="EW60">
        <v>12.2859</v>
      </c>
      <c r="EX60">
        <v>12.9598</v>
      </c>
      <c r="EY60">
        <v>1600.17</v>
      </c>
      <c r="EZ60">
        <v>0.99399199999999999</v>
      </c>
      <c r="FA60">
        <v>6.0078700000000002E-3</v>
      </c>
      <c r="FB60">
        <v>0</v>
      </c>
      <c r="FC60">
        <v>571.60299999999995</v>
      </c>
      <c r="FD60">
        <v>5.0001800000000003</v>
      </c>
      <c r="FE60">
        <v>11702.5</v>
      </c>
      <c r="FF60">
        <v>13737</v>
      </c>
      <c r="FG60">
        <v>38.25</v>
      </c>
      <c r="FH60">
        <v>40.125</v>
      </c>
      <c r="FI60">
        <v>38.875</v>
      </c>
      <c r="FJ60">
        <v>39.686999999999998</v>
      </c>
      <c r="FK60">
        <v>39.561999999999998</v>
      </c>
      <c r="FL60">
        <v>1585.59</v>
      </c>
      <c r="FM60">
        <v>9.58</v>
      </c>
      <c r="FN60">
        <v>0</v>
      </c>
      <c r="FO60">
        <v>1685757014.2</v>
      </c>
      <c r="FP60">
        <v>0</v>
      </c>
      <c r="FQ60">
        <v>354.2062153846154</v>
      </c>
      <c r="FR60">
        <v>3293.4593749639798</v>
      </c>
      <c r="FS60">
        <v>-123837.35685286</v>
      </c>
      <c r="FT60">
        <v>42722.823846153849</v>
      </c>
      <c r="FU60">
        <v>15</v>
      </c>
      <c r="FV60">
        <v>1707843540</v>
      </c>
      <c r="FW60" t="s">
        <v>487</v>
      </c>
      <c r="FX60">
        <v>1707843539.5</v>
      </c>
      <c r="FY60">
        <v>1707843540</v>
      </c>
      <c r="FZ60">
        <v>1</v>
      </c>
      <c r="GA60">
        <v>-0.112</v>
      </c>
      <c r="GB60">
        <v>6.8000000000000005E-2</v>
      </c>
      <c r="GC60">
        <v>-2.09</v>
      </c>
      <c r="GD60">
        <v>0.03</v>
      </c>
      <c r="GE60">
        <v>400</v>
      </c>
      <c r="GF60">
        <v>11</v>
      </c>
      <c r="GG60">
        <v>0.28000000000000003</v>
      </c>
      <c r="GH60">
        <v>0.05</v>
      </c>
      <c r="GI60">
        <v>-12.02916963968989</v>
      </c>
      <c r="GJ60">
        <v>-127.47442311140109</v>
      </c>
      <c r="GK60">
        <v>17.999718405600731</v>
      </c>
      <c r="GL60">
        <v>0</v>
      </c>
      <c r="GM60">
        <v>-4.109994913414855E-2</v>
      </c>
      <c r="GN60">
        <v>-0.49953935573001501</v>
      </c>
      <c r="GO60">
        <v>6.4485717618033622E-2</v>
      </c>
      <c r="GP60">
        <v>0</v>
      </c>
      <c r="GQ60">
        <v>0</v>
      </c>
      <c r="GR60">
        <v>2</v>
      </c>
      <c r="GS60" t="s">
        <v>442</v>
      </c>
      <c r="GT60">
        <v>3.36598</v>
      </c>
      <c r="GU60">
        <v>2.7777099999999999</v>
      </c>
      <c r="GV60">
        <v>9.8128699999999999E-2</v>
      </c>
      <c r="GW60">
        <v>9.5695799999999998E-2</v>
      </c>
      <c r="GX60">
        <v>7.8510099999999999E-2</v>
      </c>
      <c r="GY60">
        <v>8.0664200000000005E-2</v>
      </c>
      <c r="GZ60">
        <v>21124.7</v>
      </c>
      <c r="HA60">
        <v>21765.1</v>
      </c>
      <c r="HB60">
        <v>24890</v>
      </c>
      <c r="HC60">
        <v>25487.3</v>
      </c>
      <c r="HD60">
        <v>34876.699999999997</v>
      </c>
      <c r="HE60">
        <v>35034.6</v>
      </c>
      <c r="HF60">
        <v>41612.5</v>
      </c>
      <c r="HG60">
        <v>41248.5</v>
      </c>
      <c r="HH60">
        <v>2.2161400000000002</v>
      </c>
      <c r="HI60">
        <v>2.27264</v>
      </c>
      <c r="HJ60">
        <v>7.2592500000000004E-2</v>
      </c>
      <c r="HK60">
        <v>0</v>
      </c>
      <c r="HL60">
        <v>29.318200000000001</v>
      </c>
      <c r="HM60">
        <v>999.9</v>
      </c>
      <c r="HN60">
        <v>41</v>
      </c>
      <c r="HO60">
        <v>33.4</v>
      </c>
      <c r="HP60">
        <v>20.800999999999998</v>
      </c>
      <c r="HQ60">
        <v>60.97</v>
      </c>
      <c r="HR60">
        <v>7.1474399999999996</v>
      </c>
      <c r="HS60">
        <v>2</v>
      </c>
      <c r="HT60">
        <v>9.4032500000000005E-2</v>
      </c>
      <c r="HU60">
        <v>0</v>
      </c>
      <c r="HV60">
        <v>20.3645</v>
      </c>
      <c r="HW60">
        <v>5.2011200000000004</v>
      </c>
      <c r="HX60">
        <v>11.9261</v>
      </c>
      <c r="HY60">
        <v>4.9901200000000001</v>
      </c>
      <c r="HZ60">
        <v>3.2812000000000001</v>
      </c>
      <c r="IA60">
        <v>9999</v>
      </c>
      <c r="IB60">
        <v>9999</v>
      </c>
      <c r="IC60">
        <v>9999</v>
      </c>
      <c r="ID60">
        <v>155.6</v>
      </c>
      <c r="IE60">
        <v>4.9720199999999997</v>
      </c>
      <c r="IF60">
        <v>1.85883</v>
      </c>
      <c r="IG60">
        <v>1.86798</v>
      </c>
      <c r="IH60">
        <v>1.8632500000000001</v>
      </c>
      <c r="II60">
        <v>1.86524</v>
      </c>
      <c r="IJ60">
        <v>1.8615699999999999</v>
      </c>
      <c r="IK60">
        <v>1.86371</v>
      </c>
      <c r="IL60">
        <v>1.86147</v>
      </c>
      <c r="IM60">
        <v>0</v>
      </c>
      <c r="IN60">
        <v>0</v>
      </c>
      <c r="IO60">
        <v>0</v>
      </c>
      <c r="IP60">
        <v>0</v>
      </c>
      <c r="IQ60" t="s">
        <v>443</v>
      </c>
      <c r="IR60" t="s">
        <v>444</v>
      </c>
      <c r="IS60" t="s">
        <v>445</v>
      </c>
      <c r="IT60" t="s">
        <v>445</v>
      </c>
      <c r="IU60" t="s">
        <v>445</v>
      </c>
      <c r="IV60" t="s">
        <v>445</v>
      </c>
      <c r="IW60">
        <v>0</v>
      </c>
      <c r="IX60">
        <v>100</v>
      </c>
      <c r="IY60">
        <v>100</v>
      </c>
      <c r="IZ60">
        <v>-2.1070000000000002</v>
      </c>
      <c r="JA60">
        <v>8.0199999999999994E-2</v>
      </c>
      <c r="JB60">
        <v>-1.252214354925264</v>
      </c>
      <c r="JC60">
        <v>-2.4932477295996069E-3</v>
      </c>
      <c r="JD60">
        <v>1.159696634280317E-6</v>
      </c>
      <c r="JE60">
        <v>-3.5013845820821591E-10</v>
      </c>
      <c r="JF60">
        <v>-1.8539783221661419E-2</v>
      </c>
      <c r="JG60">
        <v>-7.5935071553627593E-3</v>
      </c>
      <c r="JH60">
        <v>1.367325239740887E-3</v>
      </c>
      <c r="JI60">
        <v>-2.2944115828177239E-5</v>
      </c>
      <c r="JJ60">
        <v>2</v>
      </c>
      <c r="JK60">
        <v>2118</v>
      </c>
      <c r="JL60">
        <v>1</v>
      </c>
      <c r="JM60">
        <v>27</v>
      </c>
      <c r="JN60">
        <v>317.7</v>
      </c>
      <c r="JO60">
        <v>317.7</v>
      </c>
      <c r="JP60">
        <v>1.2768600000000001</v>
      </c>
      <c r="JQ60">
        <v>2.5671400000000002</v>
      </c>
      <c r="JR60">
        <v>2.19604</v>
      </c>
      <c r="JS60">
        <v>2.6977500000000001</v>
      </c>
      <c r="JT60">
        <v>2.1496599999999999</v>
      </c>
      <c r="JU60">
        <v>2.49268</v>
      </c>
      <c r="JV60">
        <v>38.281199999999998</v>
      </c>
      <c r="JW60">
        <v>13.510400000000001</v>
      </c>
      <c r="JX60">
        <v>18</v>
      </c>
      <c r="JY60">
        <v>600.17600000000004</v>
      </c>
      <c r="JZ60">
        <v>708.54399999999998</v>
      </c>
      <c r="KA60">
        <v>29.3047</v>
      </c>
      <c r="KB60">
        <v>28.7958</v>
      </c>
      <c r="KC60">
        <v>30.000499999999999</v>
      </c>
      <c r="KD60">
        <v>28.743500000000001</v>
      </c>
      <c r="KE60">
        <v>28.712399999999999</v>
      </c>
      <c r="KF60">
        <v>25.616199999999999</v>
      </c>
      <c r="KG60">
        <v>32.750599999999999</v>
      </c>
      <c r="KH60">
        <v>45.697800000000001</v>
      </c>
      <c r="KI60">
        <v>-999.9</v>
      </c>
      <c r="KJ60">
        <v>400</v>
      </c>
      <c r="KK60">
        <v>14.732699999999999</v>
      </c>
      <c r="KL60">
        <v>100.874</v>
      </c>
      <c r="KM60">
        <v>100.85899999999999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7"/>
  <sheetViews>
    <sheetView workbookViewId="0"/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  <row r="12" spans="1:2" x14ac:dyDescent="0.2">
      <c r="A12" t="s">
        <v>22</v>
      </c>
      <c r="B12" t="s">
        <v>23</v>
      </c>
    </row>
    <row r="13" spans="1:2" x14ac:dyDescent="0.2">
      <c r="A13" t="s">
        <v>24</v>
      </c>
      <c r="B13" t="s">
        <v>25</v>
      </c>
    </row>
    <row r="14" spans="1:2" x14ac:dyDescent="0.2">
      <c r="A14" t="s">
        <v>26</v>
      </c>
      <c r="B14" t="s">
        <v>25</v>
      </c>
    </row>
    <row r="15" spans="1:2" x14ac:dyDescent="0.2">
      <c r="A15" t="s">
        <v>27</v>
      </c>
      <c r="B15" t="s">
        <v>23</v>
      </c>
    </row>
    <row r="16" spans="1:2" x14ac:dyDescent="0.2">
      <c r="A16" t="s">
        <v>28</v>
      </c>
      <c r="B16" t="s">
        <v>29</v>
      </c>
    </row>
    <row r="17" spans="1:2" x14ac:dyDescent="0.2">
      <c r="A17" t="s">
        <v>30</v>
      </c>
      <c r="B17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Lily Pack Klinek</cp:lastModifiedBy>
  <dcterms:created xsi:type="dcterms:W3CDTF">2026-03-03T17:17:20Z</dcterms:created>
  <dcterms:modified xsi:type="dcterms:W3CDTF">2026-03-04T22:10:53Z</dcterms:modified>
</cp:coreProperties>
</file>