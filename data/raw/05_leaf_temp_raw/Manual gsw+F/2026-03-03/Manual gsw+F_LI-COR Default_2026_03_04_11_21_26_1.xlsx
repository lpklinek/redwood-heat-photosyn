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 gsw+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8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Observation</v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07:42:12</v>
      </c>
      <c r="C4" t="str">
        <v>2026-03-03</v>
      </c>
      <c r="D4" t="str">
        <v>Manual gsw+F</v>
      </c>
      <c r="E4" t="str">
        <v>LI-COR Default</v>
      </c>
      <c r="F4" t="str">
        <v/>
      </c>
      <c r="G4" t="str">
        <v>001</v>
      </c>
      <c r="H4" t="str">
        <v/>
      </c>
      <c r="I4" t="str">
        <v/>
      </c>
      <c r="J4" t="str">
        <f>1/((1/L4)-(1/K4))</f>
        <v>2.312540</v>
      </c>
      <c r="K4" t="str">
        <f>BH4+(BI4*AN4)+(BJ4*AN4*POWER(V4,2))+(BK4*AN4*V4)+(BL4*POWER(AN4,2))</f>
        <v>2.618143</v>
      </c>
      <c r="L4" t="str">
        <f>((M4/1000)*(1000-((T4+S4)/2)))/(T4-S4)</f>
        <v>1.227936</v>
      </c>
      <c r="M4" t="str">
        <f>(AN4*(S4-R4))/(100*U4*(1000-S4))*1000</f>
        <v>4.313309</v>
      </c>
      <c r="N4" t="str">
        <v>0.988516</v>
      </c>
      <c r="O4" t="str">
        <v>0.836622</v>
      </c>
      <c r="P4" t="str">
        <f>0.61365*EXP((17.502*AL4)/(240.97+AL4))</f>
        <v>1.342432</v>
      </c>
      <c r="Q4" t="str">
        <f>P4-N4</f>
        <v>0.353916</v>
      </c>
      <c r="R4" t="str">
        <v>8.208613</v>
      </c>
      <c r="S4" t="str">
        <v>9.698942</v>
      </c>
      <c r="T4" t="str">
        <f>(P4/AM4)*1000</f>
        <v>13.171425</v>
      </c>
      <c r="U4" t="str">
        <f>V4*BG4</f>
        <v>0.441786</v>
      </c>
      <c r="V4" t="str">
        <v>7.500000</v>
      </c>
      <c r="W4" t="str">
        <v>PSF-00232_20260303074212_042</v>
      </c>
      <c r="X4" t="str">
        <v>0.000000</v>
      </c>
      <c r="Y4" t="str">
        <v>0.000000</v>
      </c>
      <c r="Z4" t="str">
        <v>0.000000</v>
      </c>
      <c r="AA4" t="str">
        <v>398.494354</v>
      </c>
      <c r="AB4" t="str">
        <v>1193.053345</v>
      </c>
      <c r="AC4" t="str">
        <v>0.665988</v>
      </c>
      <c r="AD4" t="str">
        <v>0.5</v>
      </c>
      <c r="AE4" t="str">
        <v>0.80</v>
      </c>
      <c r="AF4" t="str">
        <f>AC4*AD4*AE4*AQ4</f>
        <v>0.036088</v>
      </c>
      <c r="AG4" t="str">
        <v>1.000000</v>
      </c>
      <c r="AH4" t="str">
        <v>72.06</v>
      </c>
      <c r="AI4" t="str">
        <v>60.99</v>
      </c>
      <c r="AJ4" t="str">
        <v>11.61</v>
      </c>
      <c r="AK4" t="str">
        <v>11.28</v>
      </c>
      <c r="AL4" t="str">
        <f>(AK4-AJ4)*(AJ4*0+0)+AK4</f>
        <v>11.28</v>
      </c>
      <c r="AM4" t="str">
        <v>101.92</v>
      </c>
      <c r="AN4" t="str">
        <v>126.6</v>
      </c>
      <c r="AO4" t="str">
        <v>-13.2</v>
      </c>
      <c r="AP4" t="str">
        <v>110.5</v>
      </c>
      <c r="AQ4" t="str">
        <v>0</v>
      </c>
      <c r="AR4" t="str">
        <v>4.032</v>
      </c>
      <c r="AS4" t="str">
        <v>07:41:19</v>
      </c>
      <c r="AT4" t="str">
        <v>2026-03-03</v>
      </c>
      <c r="AU4" t="str">
        <v>-0.39</v>
      </c>
      <c r="AV4" t="str">
        <v>1</v>
      </c>
      <c r="AW4" t="str">
        <v>-0.018</v>
      </c>
      <c r="AX4" t="str">
        <v>0.009</v>
      </c>
      <c r="AY4" t="str">
        <v>-0.017</v>
      </c>
      <c r="AZ4" t="str">
        <v>0.658</v>
      </c>
      <c r="BA4" t="str">
        <v>1.302</v>
      </c>
      <c r="BB4" t="str">
        <v>2.121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-9999.000000</v>
      </c>
      <c r="BS4" t="str">
        <v>-9999.000000</v>
      </c>
      <c r="BT4" t="str">
        <v>300</v>
      </c>
      <c r="BU4" t="str">
        <v>300</v>
      </c>
      <c r="BV4" t="str">
        <v>300</v>
      </c>
      <c r="BW4" t="str">
        <v>994.395020</v>
      </c>
      <c r="BX4" t="str">
        <v>25</v>
      </c>
      <c r="BY4" t="str">
        <v>-139.883698</v>
      </c>
      <c r="BZ4" t="str">
        <v>992.219910</v>
      </c>
      <c r="CA4" t="str">
        <v>992.612732</v>
      </c>
      <c r="CB4" t="str">
        <v>-0.392822</v>
      </c>
      <c r="CC4" t="str">
        <v>2.501851</v>
      </c>
      <c r="CD4" t="str">
        <v>2.526393</v>
      </c>
      <c r="CE4" t="str">
        <v>1.398529</v>
      </c>
      <c r="CF4" t="str">
        <v>0.578898</v>
      </c>
      <c r="CG4" t="str">
        <v>0.466941</v>
      </c>
      <c r="CH4" t="str">
        <v>-0.001291</v>
      </c>
      <c r="CI4" t="str">
        <v>0.053003</v>
      </c>
      <c r="CJ4" t="str">
        <v>0.107184</v>
      </c>
      <c r="CK4" t="str">
        <v>398.494354</v>
      </c>
      <c r="CL4" t="str">
        <v>0.000642</v>
      </c>
      <c r="CM4" t="str">
        <v>2.400430</v>
      </c>
      <c r="CN4" t="str">
        <v>-0.000041</v>
      </c>
      <c r="CO4" t="str">
        <v>1.000000</v>
      </c>
      <c r="CP4" t="str">
        <v>2.408421</v>
      </c>
      <c r="CQ4" t="str">
        <v>-0.000039</v>
      </c>
      <c r="CR4" t="str">
        <v>1.000000</v>
      </c>
      <c r="CS4" t="str">
        <v>0.600250</v>
      </c>
      <c r="CT4" t="str">
        <v>0.601702</v>
      </c>
      <c r="CU4" t="str">
        <v>0.107071</v>
      </c>
      <c r="CV4" t="str">
        <v>0.000000</v>
      </c>
      <c r="CW4" t="str">
        <v>PSF-00232_20260303074212_042</v>
      </c>
      <c r="CX4" t="str">
        <v>PFA-00245</v>
      </c>
      <c r="CY4" t="str">
        <v>PSA-00257</v>
      </c>
      <c r="CZ4" t="str">
        <v>PSF-00232</v>
      </c>
      <c r="DA4" t="str">
        <v>RHS-00222</v>
      </c>
      <c r="DB4" t="str">
        <v>3.0.0</v>
      </c>
      <c r="DC4" t="str">
        <v>2021-01-19T12:57:14.097Z</v>
      </c>
    </row>
    <row r="5">
      <c r="A5" t="str">
        <v>1</v>
      </c>
      <c r="B5" t="str">
        <v>08:20:23</v>
      </c>
      <c r="C5" t="str">
        <v>2026-03-03</v>
      </c>
      <c r="D5" t="str">
        <v>Manual gsw+F</v>
      </c>
      <c r="E5" t="str">
        <v>LI-COR Default</v>
      </c>
      <c r="F5" t="str">
        <v/>
      </c>
      <c r="G5" t="str">
        <v>001</v>
      </c>
      <c r="H5" t="str">
        <v/>
      </c>
      <c r="I5" t="str">
        <v/>
      </c>
      <c r="J5" t="str">
        <f>1/((1/L5)-(1/K5))</f>
        <v>1.346052</v>
      </c>
      <c r="K5" t="str">
        <f>BH5+(BI5*AN5)+(BJ5*AN5*POWER(V5,2))+(BK5*AN5*V5)+(BL5*POWER(AN5,2))</f>
        <v>2.545243</v>
      </c>
      <c r="L5" t="str">
        <f>((M5/1000)*(1000-((T5+S5)/2)))/(T5-S5)</f>
        <v>0.880434</v>
      </c>
      <c r="M5" t="str">
        <f>(AN5*(S5-R5))/(100*U5*(1000-S5))*1000</f>
        <v>3.550094</v>
      </c>
      <c r="N5" t="str">
        <v>0.959759</v>
      </c>
      <c r="O5" t="str">
        <v>0.828650</v>
      </c>
      <c r="P5" t="str">
        <f>0.61365*EXP((17.502*AL5)/(240.97+AL5))</f>
        <v>1.366116</v>
      </c>
      <c r="Q5" t="str">
        <f>P5-N5</f>
        <v>0.406357</v>
      </c>
      <c r="R5" t="str">
        <v>8.128742</v>
      </c>
      <c r="S5" t="str">
        <v>9.414874</v>
      </c>
      <c r="T5" t="str">
        <f>(P5/AM5)*1000</f>
        <v>13.401083</v>
      </c>
      <c r="U5" t="str">
        <f>V5*BG5</f>
        <v>0.441786</v>
      </c>
      <c r="V5" t="str">
        <v>7.500000</v>
      </c>
      <c r="W5" t="str">
        <v>PSF-00232_20260303082023_a11</v>
      </c>
      <c r="X5" t="str">
        <v>0.000000</v>
      </c>
      <c r="Y5" t="str">
        <v>0.000000</v>
      </c>
      <c r="Z5" t="str">
        <v>0.000000</v>
      </c>
      <c r="AA5" t="str">
        <v>97.406029</v>
      </c>
      <c r="AB5" t="str">
        <v>409.411682</v>
      </c>
      <c r="AC5" t="str">
        <v>0.762083</v>
      </c>
      <c r="AD5" t="str">
        <v>0.5</v>
      </c>
      <c r="AE5" t="str">
        <v>0.80</v>
      </c>
      <c r="AF5" t="str">
        <f>AC5*AD5*AE5*AQ5</f>
        <v>0.493619</v>
      </c>
      <c r="AG5" t="str">
        <v>1.000000</v>
      </c>
      <c r="AH5" t="str">
        <v>69.19</v>
      </c>
      <c r="AI5" t="str">
        <v>59.74</v>
      </c>
      <c r="AJ5" t="str">
        <v>11.78</v>
      </c>
      <c r="AK5" t="str">
        <v>11.55</v>
      </c>
      <c r="AL5" t="str">
        <f>(AK5-AJ5)*(AJ5*0+0)+AK5</f>
        <v>11.55</v>
      </c>
      <c r="AM5" t="str">
        <v>101.94</v>
      </c>
      <c r="AN5" t="str">
        <v>120.8</v>
      </c>
      <c r="AO5" t="str">
        <v>-13.3</v>
      </c>
      <c r="AP5" t="str">
        <v>111.0</v>
      </c>
      <c r="AQ5" t="str">
        <v>2</v>
      </c>
      <c r="AR5" t="str">
        <v>4.021</v>
      </c>
      <c r="AS5" t="str">
        <v>08:19:36</v>
      </c>
      <c r="AT5" t="str">
        <v>2026-03-03</v>
      </c>
      <c r="AU5" t="str">
        <v>-0.47</v>
      </c>
      <c r="AV5" t="str">
        <v>1</v>
      </c>
      <c r="AW5" t="str">
        <v>-0.009</v>
      </c>
      <c r="AX5" t="str">
        <v>-0.003</v>
      </c>
      <c r="AY5" t="str">
        <v>-0.002</v>
      </c>
      <c r="AZ5" t="str">
        <v>0.041</v>
      </c>
      <c r="BA5" t="str">
        <v>-0.038</v>
      </c>
      <c r="BB5" t="str">
        <v>-0.080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-9999.000000</v>
      </c>
      <c r="BS5" t="str">
        <v>-9999.000000</v>
      </c>
      <c r="BT5" t="str">
        <v>300</v>
      </c>
      <c r="BU5" t="str">
        <v>300</v>
      </c>
      <c r="BV5" t="str">
        <v>300</v>
      </c>
      <c r="BW5" t="str">
        <v>409.411682</v>
      </c>
      <c r="BX5" t="str">
        <v>25</v>
      </c>
      <c r="BY5" t="str">
        <v>5.281641</v>
      </c>
      <c r="BZ5" t="str">
        <v>411.133301</v>
      </c>
      <c r="CA5" t="str">
        <v>416.979797</v>
      </c>
      <c r="CB5" t="str">
        <v>-5.846497</v>
      </c>
      <c r="CC5" t="str">
        <v>2.500050</v>
      </c>
      <c r="CD5" t="str">
        <v>2.522511</v>
      </c>
      <c r="CE5" t="str">
        <v>1.353439</v>
      </c>
      <c r="CF5" t="str">
        <v>0.578813</v>
      </c>
      <c r="CG5" t="str">
        <v>0.463795</v>
      </c>
      <c r="CH5" t="str">
        <v>-0.000337</v>
      </c>
      <c r="CI5" t="str">
        <v>0.199637</v>
      </c>
      <c r="CJ5" t="str">
        <v>0.108421</v>
      </c>
      <c r="CK5" t="str">
        <v>97.406029</v>
      </c>
      <c r="CL5" t="str">
        <v>0.000666</v>
      </c>
      <c r="CM5" t="str">
        <v>2.400430</v>
      </c>
      <c r="CN5" t="str">
        <v>-0.000041</v>
      </c>
      <c r="CO5" t="str">
        <v>1.000000</v>
      </c>
      <c r="CP5" t="str">
        <v>2.408421</v>
      </c>
      <c r="CQ5" t="str">
        <v>-0.000039</v>
      </c>
      <c r="CR5" t="str">
        <v>1.000000</v>
      </c>
      <c r="CS5" t="str">
        <v>0.600250</v>
      </c>
      <c r="CT5" t="str">
        <v>0.601702</v>
      </c>
      <c r="CU5" t="str">
        <v>0.107071</v>
      </c>
      <c r="CV5" t="str">
        <v>0.000000</v>
      </c>
      <c r="CW5" t="str">
        <v>PSF-00232_20260303082023_a11</v>
      </c>
      <c r="CX5" t="str">
        <v>PFA-00245</v>
      </c>
      <c r="CY5" t="str">
        <v>PSA-00257</v>
      </c>
      <c r="CZ5" t="str">
        <v>PSF-00232</v>
      </c>
      <c r="DA5" t="str">
        <v>RHS-00222</v>
      </c>
      <c r="DB5" t="str">
        <v>3.0.0</v>
      </c>
      <c r="DC5" t="str">
        <v>2021-01-19T12:57:14.097Z</v>
      </c>
    </row>
    <row r="6">
      <c r="A6" t="str">
        <v>2</v>
      </c>
      <c r="B6" t="str">
        <v>08:30:04</v>
      </c>
      <c r="C6" t="str">
        <v>2026-03-03</v>
      </c>
      <c r="D6" t="str">
        <v>Manual gsw+F</v>
      </c>
      <c r="E6" t="str">
        <v>LI-COR Default</v>
      </c>
      <c r="F6" t="str">
        <v/>
      </c>
      <c r="G6" t="str">
        <v>002</v>
      </c>
      <c r="H6" t="str">
        <v/>
      </c>
      <c r="I6" t="str">
        <v/>
      </c>
      <c r="J6" t="str">
        <f>1/((1/L6)-(1/K6))</f>
        <v>0.705166</v>
      </c>
      <c r="K6" t="str">
        <f>BH6+(BI6*AN6)+(BJ6*AN6*POWER(V6,2))+(BK6*AN6*V6)+(BL6*POWER(AN6,2))</f>
        <v>2.276461</v>
      </c>
      <c r="L6" t="str">
        <f>((M6/1000)*(1000-((T6+S6)/2)))/(T6-S6)</f>
        <v>0.538392</v>
      </c>
      <c r="M6" t="str">
        <f>(AN6*(S6-R6))/(100*U6*(1000-S6))*1000</f>
        <v>1.972731</v>
      </c>
      <c r="N6" t="str">
        <v>1.019938</v>
      </c>
      <c r="O6" t="str">
        <v>0.933598</v>
      </c>
      <c r="P6" t="str">
        <f>0.61365*EXP((17.502*AL6)/(240.97+AL6))</f>
        <v>1.388994</v>
      </c>
      <c r="Q6" t="str">
        <f>P6-N6</f>
        <v>0.369056</v>
      </c>
      <c r="R6" t="str">
        <v>9.159570</v>
      </c>
      <c r="S6" t="str">
        <v>10.006653</v>
      </c>
      <c r="T6" t="str">
        <f>(P6/AM6)*1000</f>
        <v>13.627472</v>
      </c>
      <c r="U6" t="str">
        <f>V6*BG6</f>
        <v>0.441786</v>
      </c>
      <c r="V6" t="str">
        <v>7.500000</v>
      </c>
      <c r="W6" t="str">
        <v>PSF-00232_20260303083004_eb1</v>
      </c>
      <c r="X6" t="str">
        <v>0.000000</v>
      </c>
      <c r="Y6" t="str">
        <v>0.000000</v>
      </c>
      <c r="Z6" t="str">
        <v>0.000000</v>
      </c>
      <c r="AA6" t="str">
        <v>99.579689</v>
      </c>
      <c r="AB6" t="str">
        <v>321.449524</v>
      </c>
      <c r="AC6" t="str">
        <v>0.690217</v>
      </c>
      <c r="AD6" t="str">
        <v>0.5</v>
      </c>
      <c r="AE6" t="str">
        <v>0.80</v>
      </c>
      <c r="AF6" t="str">
        <f>AC6*AD6*AE6*AQ6</f>
        <v>29.133963</v>
      </c>
      <c r="AG6" t="str">
        <v>1.000000</v>
      </c>
      <c r="AH6" t="str">
        <v>69.78</v>
      </c>
      <c r="AI6" t="str">
        <v>63.87</v>
      </c>
      <c r="AJ6" t="str">
        <v>12.57</v>
      </c>
      <c r="AK6" t="str">
        <v>11.80</v>
      </c>
      <c r="AL6" t="str">
        <f>(AK6-AJ6)*(AJ6*0+0)+AK6</f>
        <v>11.80</v>
      </c>
      <c r="AM6" t="str">
        <v>101.93</v>
      </c>
      <c r="AN6" t="str">
        <v>101.9</v>
      </c>
      <c r="AO6" t="str">
        <v>-12.2</v>
      </c>
      <c r="AP6" t="str">
        <v>112.0</v>
      </c>
      <c r="AQ6" t="str">
        <v>106</v>
      </c>
      <c r="AR6" t="str">
        <v>4.009</v>
      </c>
      <c r="AS6" t="str">
        <v>08:19:36</v>
      </c>
      <c r="AT6" t="str">
        <v>2026-03-03</v>
      </c>
      <c r="AU6" t="str">
        <v>-0.47</v>
      </c>
      <c r="AV6" t="str">
        <v>1</v>
      </c>
      <c r="AW6" t="str">
        <v>-0.003</v>
      </c>
      <c r="AX6" t="str">
        <v>-0.004</v>
      </c>
      <c r="AY6" t="str">
        <v>-0.007</v>
      </c>
      <c r="AZ6" t="str">
        <v>-0.275</v>
      </c>
      <c r="BA6" t="str">
        <v>-1.820</v>
      </c>
      <c r="BB6" t="str">
        <v>-2.175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-9999.000000</v>
      </c>
      <c r="BS6" t="str">
        <v>-9999.000000</v>
      </c>
      <c r="BT6" t="str">
        <v>300</v>
      </c>
      <c r="BU6" t="str">
        <v>300</v>
      </c>
      <c r="BV6" t="str">
        <v>300</v>
      </c>
      <c r="BW6" t="str">
        <v>321.449524</v>
      </c>
      <c r="BX6" t="str">
        <v>25</v>
      </c>
      <c r="BY6" t="str">
        <v>0.359123</v>
      </c>
      <c r="BZ6" t="str">
        <v>322.283508</v>
      </c>
      <c r="CA6" t="str">
        <v>321.964111</v>
      </c>
      <c r="CB6" t="str">
        <v>0.319397</v>
      </c>
      <c r="CC6" t="str">
        <v>2.505616</v>
      </c>
      <c r="CD6" t="str">
        <v>2.523121</v>
      </c>
      <c r="CE6" t="str">
        <v>1.212179</v>
      </c>
      <c r="CF6" t="str">
        <v>0.580606</v>
      </c>
      <c r="CG6" t="str">
        <v>0.449221</v>
      </c>
      <c r="CH6" t="str">
        <v>-0.006165</v>
      </c>
      <c r="CI6" t="str">
        <v>0.248788</v>
      </c>
      <c r="CJ6" t="str">
        <v>0.195044</v>
      </c>
      <c r="CK6" t="str">
        <v>99.579689</v>
      </c>
      <c r="CL6" t="str">
        <v>0.000633</v>
      </c>
      <c r="CM6" t="str">
        <v>2.400430</v>
      </c>
      <c r="CN6" t="str">
        <v>-0.000041</v>
      </c>
      <c r="CO6" t="str">
        <v>1.000000</v>
      </c>
      <c r="CP6" t="str">
        <v>2.408421</v>
      </c>
      <c r="CQ6" t="str">
        <v>-0.000039</v>
      </c>
      <c r="CR6" t="str">
        <v>1.000000</v>
      </c>
      <c r="CS6" t="str">
        <v>0.600250</v>
      </c>
      <c r="CT6" t="str">
        <v>0.601702</v>
      </c>
      <c r="CU6" t="str">
        <v>0.107071</v>
      </c>
      <c r="CV6" t="str">
        <v>0.000000</v>
      </c>
      <c r="CW6" t="str">
        <v>PSF-00232_20260303083004_eb1</v>
      </c>
      <c r="CX6" t="str">
        <v>PFA-00245</v>
      </c>
      <c r="CY6" t="str">
        <v>PSA-00257</v>
      </c>
      <c r="CZ6" t="str">
        <v>PSF-00232</v>
      </c>
      <c r="DA6" t="str">
        <v>RHS-00222</v>
      </c>
      <c r="DB6" t="str">
        <v>3.0.0</v>
      </c>
      <c r="DC6" t="str">
        <v>2021-01-19T12:57:14.097Z</v>
      </c>
    </row>
    <row r="7">
      <c r="A7" t="str">
        <v>3</v>
      </c>
      <c r="B7" t="str">
        <v>08:33:26</v>
      </c>
      <c r="C7" t="str">
        <v>2026-03-03</v>
      </c>
      <c r="D7" t="str">
        <v>Manual gsw+F</v>
      </c>
      <c r="E7" t="str">
        <v>LI-COR Default</v>
      </c>
      <c r="F7" t="str">
        <v/>
      </c>
      <c r="G7" t="str">
        <v>003</v>
      </c>
      <c r="H7" t="str">
        <v/>
      </c>
      <c r="I7" t="str">
        <v/>
      </c>
      <c r="J7" t="str">
        <f>1/((1/L7)-(1/K7))</f>
        <v>0.450220</v>
      </c>
      <c r="K7" t="str">
        <f>BH7+(BI7*AN7)+(BJ7*AN7*POWER(V7,2))+(BK7*AN7*V7)+(BL7*POWER(AN7,2))</f>
        <v>2.207945</v>
      </c>
      <c r="L7" t="str">
        <f>((M7/1000)*(1000-((T7+S7)/2)))/(T7-S7)</f>
        <v>0.373965</v>
      </c>
      <c r="M7" t="str">
        <f>(AN7*(S7-R7))/(100*U7*(1000-S7))*1000</f>
        <v>1.471393</v>
      </c>
      <c r="N7" t="str">
        <v>1.015660</v>
      </c>
      <c r="O7" t="str">
        <v>0.948394</v>
      </c>
      <c r="P7" t="str">
        <f>0.61365*EXP((17.502*AL7)/(240.97+AL7))</f>
        <v>1.411886</v>
      </c>
      <c r="Q7" t="str">
        <f>P7-N7</f>
        <v>0.396227</v>
      </c>
      <c r="R7" t="str">
        <v>9.305507</v>
      </c>
      <c r="S7" t="str">
        <v>9.965509</v>
      </c>
      <c r="T7" t="str">
        <f>(P7/AM7)*1000</f>
        <v>13.853229</v>
      </c>
      <c r="U7" t="str">
        <f>V7*BG7</f>
        <v>0.441786</v>
      </c>
      <c r="V7" t="str">
        <v>7.500000</v>
      </c>
      <c r="W7" t="str">
        <v>PSF-00232_20260303083326_777</v>
      </c>
      <c r="X7" t="str">
        <v>0.000000</v>
      </c>
      <c r="Y7" t="str">
        <v>0.000000</v>
      </c>
      <c r="Z7" t="str">
        <v>0.000000</v>
      </c>
      <c r="AA7" t="str">
        <v>88.508965</v>
      </c>
      <c r="AB7" t="str">
        <v>359.346283</v>
      </c>
      <c r="AC7" t="str">
        <v>0.753694</v>
      </c>
      <c r="AD7" t="str">
        <v>0.5</v>
      </c>
      <c r="AE7" t="str">
        <v>0.80</v>
      </c>
      <c r="AF7" t="str">
        <f>AC7*AD7*AE7*AQ7</f>
        <v>23.269045</v>
      </c>
      <c r="AG7" t="str">
        <v>1.000000</v>
      </c>
      <c r="AH7" t="str">
        <v>68.45</v>
      </c>
      <c r="AI7" t="str">
        <v>63.92</v>
      </c>
      <c r="AJ7" t="str">
        <v>12.80</v>
      </c>
      <c r="AK7" t="str">
        <v>12.05</v>
      </c>
      <c r="AL7" t="str">
        <f>(AK7-AJ7)*(AJ7*0+0)+AK7</f>
        <v>12.05</v>
      </c>
      <c r="AM7" t="str">
        <v>101.92</v>
      </c>
      <c r="AN7" t="str">
        <v>97.5</v>
      </c>
      <c r="AO7" t="str">
        <v>-12.4</v>
      </c>
      <c r="AP7" t="str">
        <v>112.7</v>
      </c>
      <c r="AQ7" t="str">
        <v>77</v>
      </c>
      <c r="AR7" t="str">
        <v>3.999</v>
      </c>
      <c r="AS7" t="str">
        <v>08:33:05</v>
      </c>
      <c r="AT7" t="str">
        <v>2026-03-03</v>
      </c>
      <c r="AU7" t="str">
        <v>-0.85</v>
      </c>
      <c r="AV7" t="str">
        <v>1</v>
      </c>
      <c r="AW7" t="str">
        <v>-0.003</v>
      </c>
      <c r="AX7" t="str">
        <v>-0.006</v>
      </c>
      <c r="AY7" t="str">
        <v>-0.005</v>
      </c>
      <c r="AZ7" t="str">
        <v>0.008</v>
      </c>
      <c r="BA7" t="str">
        <v>0.261</v>
      </c>
      <c r="BB7" t="str">
        <v>-1.081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-9999.000000</v>
      </c>
      <c r="BS7" t="str">
        <v>-9999.000000</v>
      </c>
      <c r="BT7" t="str">
        <v>300</v>
      </c>
      <c r="BU7" t="str">
        <v>300</v>
      </c>
      <c r="BV7" t="str">
        <v>300</v>
      </c>
      <c r="BW7" t="str">
        <v>356.870056</v>
      </c>
      <c r="BX7" t="str">
        <v>25</v>
      </c>
      <c r="BY7" t="str">
        <v>-1.454628</v>
      </c>
      <c r="BZ7" t="str">
        <v>357.643250</v>
      </c>
      <c r="CA7" t="str">
        <v>357.261932</v>
      </c>
      <c r="CB7" t="str">
        <v>0.381317</v>
      </c>
      <c r="CC7" t="str">
        <v>2.505612</v>
      </c>
      <c r="CD7" t="str">
        <v>2.521757</v>
      </c>
      <c r="CE7" t="str">
        <v>1.180959</v>
      </c>
      <c r="CF7" t="str">
        <v>0.580348</v>
      </c>
      <c r="CG7" t="str">
        <v>0.445094</v>
      </c>
      <c r="CH7" t="str">
        <v>-0.006035</v>
      </c>
      <c r="CI7" t="str">
        <v>0.262351</v>
      </c>
      <c r="CJ7" t="str">
        <v>0.171416</v>
      </c>
      <c r="CK7" t="str">
        <v>88.508965</v>
      </c>
      <c r="CL7" t="str">
        <v>0.000654</v>
      </c>
      <c r="CM7" t="str">
        <v>2.400430</v>
      </c>
      <c r="CN7" t="str">
        <v>-0.000041</v>
      </c>
      <c r="CO7" t="str">
        <v>1.000000</v>
      </c>
      <c r="CP7" t="str">
        <v>2.408421</v>
      </c>
      <c r="CQ7" t="str">
        <v>-0.000039</v>
      </c>
      <c r="CR7" t="str">
        <v>1.000000</v>
      </c>
      <c r="CS7" t="str">
        <v>0.600250</v>
      </c>
      <c r="CT7" t="str">
        <v>0.601702</v>
      </c>
      <c r="CU7" t="str">
        <v>0.107071</v>
      </c>
      <c r="CV7" t="str">
        <v>0.000000</v>
      </c>
      <c r="CW7" t="str">
        <v>PSF-00232_20260303083326_777</v>
      </c>
      <c r="CX7" t="str">
        <v>PFA-00245</v>
      </c>
      <c r="CY7" t="str">
        <v>PSA-00257</v>
      </c>
      <c r="CZ7" t="str">
        <v>PSF-00232</v>
      </c>
      <c r="DA7" t="str">
        <v>RHS-00222</v>
      </c>
      <c r="DB7" t="str">
        <v>3.0.0</v>
      </c>
      <c r="DC7" t="str">
        <v>2021-01-19T12:57:14.097Z</v>
      </c>
    </row>
    <row r="8">
      <c r="A8" t="str">
        <v>4</v>
      </c>
      <c r="B8" t="str">
        <v>08:38:57</v>
      </c>
      <c r="C8" t="str">
        <v>2026-03-03</v>
      </c>
      <c r="D8" t="str">
        <v>Manual gsw+F</v>
      </c>
      <c r="E8" t="str">
        <v>LI-COR Default</v>
      </c>
      <c r="F8" t="str">
        <v/>
      </c>
      <c r="G8" t="str">
        <v>004</v>
      </c>
      <c r="H8" t="str">
        <v/>
      </c>
      <c r="I8" t="str">
        <v/>
      </c>
      <c r="J8" t="str">
        <f>1/((1/L8)-(1/K8))</f>
        <v>0.323935</v>
      </c>
      <c r="K8" t="str">
        <f>BH8+(BI8*AN8)+(BJ8*AN8*POWER(V8,2))+(BK8*AN8*V8)+(BL8*POWER(AN8,2))</f>
        <v>2.102097</v>
      </c>
      <c r="L8" t="str">
        <f>((M8/1000)*(1000-((T8+S8)/2)))/(T8-S8)</f>
        <v>0.280681</v>
      </c>
      <c r="M8" t="str">
        <f>(AN8*(S8-R8))/(100*U8*(1000-S8))*1000</f>
        <v>1.257415</v>
      </c>
      <c r="N8" t="str">
        <v>1.023499</v>
      </c>
      <c r="O8" t="str">
        <v>0.961981</v>
      </c>
      <c r="P8" t="str">
        <f>0.61365*EXP((17.502*AL8)/(240.97+AL8))</f>
        <v>1.474396</v>
      </c>
      <c r="Q8" t="str">
        <f>P8-N8</f>
        <v>0.450897</v>
      </c>
      <c r="R8" t="str">
        <v>9.440584</v>
      </c>
      <c r="S8" t="str">
        <v>10.044302</v>
      </c>
      <c r="T8" t="str">
        <f>(P8/AM8)*1000</f>
        <v>14.469260</v>
      </c>
      <c r="U8" t="str">
        <f>V8*BG8</f>
        <v>0.441786</v>
      </c>
      <c r="V8" t="str">
        <v>7.500000</v>
      </c>
      <c r="W8" t="str">
        <v>PSF-00232_20260303083857_a69</v>
      </c>
      <c r="X8" t="str">
        <v>0.000000</v>
      </c>
      <c r="Y8" t="str">
        <v>0.000000</v>
      </c>
      <c r="Z8" t="str">
        <v>0.000000</v>
      </c>
      <c r="AA8" t="str">
        <v>82.202194</v>
      </c>
      <c r="AB8" t="str">
        <v>293.896179</v>
      </c>
      <c r="AC8" t="str">
        <v>0.720302</v>
      </c>
      <c r="AD8" t="str">
        <v>0.5</v>
      </c>
      <c r="AE8" t="str">
        <v>0.80</v>
      </c>
      <c r="AF8" t="str">
        <f>AC8*AD8*AE8*AQ8</f>
        <v>57.706047</v>
      </c>
      <c r="AG8" t="str">
        <v>1.000000</v>
      </c>
      <c r="AH8" t="str">
        <v>67.66</v>
      </c>
      <c r="AI8" t="str">
        <v>63.60</v>
      </c>
      <c r="AJ8" t="str">
        <v>13.10</v>
      </c>
      <c r="AK8" t="str">
        <v>12.71</v>
      </c>
      <c r="AL8" t="str">
        <f>(AK8-AJ8)*(AJ8*0+0)+AK8</f>
        <v>12.71</v>
      </c>
      <c r="AM8" t="str">
        <v>101.90</v>
      </c>
      <c r="AN8" t="str">
        <v>91.1</v>
      </c>
      <c r="AO8" t="str">
        <v>-13.8</v>
      </c>
      <c r="AP8" t="str">
        <v>115.1</v>
      </c>
      <c r="AQ8" t="str">
        <v>200</v>
      </c>
      <c r="AR8" t="str">
        <v>3.997</v>
      </c>
      <c r="AS8" t="str">
        <v>08:33:05</v>
      </c>
      <c r="AT8" t="str">
        <v>2026-03-03</v>
      </c>
      <c r="AU8" t="str">
        <v>-0.85</v>
      </c>
      <c r="AV8" t="str">
        <v>1</v>
      </c>
      <c r="AW8" t="str">
        <v>-0.001</v>
      </c>
      <c r="AX8" t="str">
        <v>0.004</v>
      </c>
      <c r="AY8" t="str">
        <v>0.007</v>
      </c>
      <c r="AZ8" t="str">
        <v>0.193</v>
      </c>
      <c r="BA8" t="str">
        <v>0.178</v>
      </c>
      <c r="BB8" t="str">
        <v>-1.295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-9999.000000</v>
      </c>
      <c r="BS8" t="str">
        <v>-9999.000000</v>
      </c>
      <c r="BT8" t="str">
        <v>300</v>
      </c>
      <c r="BU8" t="str">
        <v>300</v>
      </c>
      <c r="BV8" t="str">
        <v>300</v>
      </c>
      <c r="BW8" t="str">
        <v>289.082062</v>
      </c>
      <c r="BX8" t="str">
        <v>25</v>
      </c>
      <c r="BY8" t="str">
        <v>-3.150485</v>
      </c>
      <c r="BZ8" t="str">
        <v>290.436737</v>
      </c>
      <c r="CA8" t="str">
        <v>289.381836</v>
      </c>
      <c r="CB8" t="str">
        <v>1.054901</v>
      </c>
      <c r="CC8" t="str">
        <v>2.505089</v>
      </c>
      <c r="CD8" t="str">
        <v>2.520597</v>
      </c>
      <c r="CE8" t="str">
        <v>1.135691</v>
      </c>
      <c r="CF8" t="str">
        <v>0.578008</v>
      </c>
      <c r="CG8" t="str">
        <v>0.439867</v>
      </c>
      <c r="CH8" t="str">
        <v>-0.002296</v>
      </c>
      <c r="CI8" t="str">
        <v>0.282649</v>
      </c>
      <c r="CJ8" t="str">
        <v>0.274042</v>
      </c>
      <c r="CK8" t="str">
        <v>82.202194</v>
      </c>
      <c r="CL8" t="str">
        <v>0.000633</v>
      </c>
      <c r="CM8" t="str">
        <v>2.400430</v>
      </c>
      <c r="CN8" t="str">
        <v>-0.000041</v>
      </c>
      <c r="CO8" t="str">
        <v>1.000000</v>
      </c>
      <c r="CP8" t="str">
        <v>2.408421</v>
      </c>
      <c r="CQ8" t="str">
        <v>-0.000039</v>
      </c>
      <c r="CR8" t="str">
        <v>1.000000</v>
      </c>
      <c r="CS8" t="str">
        <v>0.600250</v>
      </c>
      <c r="CT8" t="str">
        <v>0.601702</v>
      </c>
      <c r="CU8" t="str">
        <v>0.107071</v>
      </c>
      <c r="CV8" t="str">
        <v>0.000000</v>
      </c>
      <c r="CW8" t="str">
        <v>PSF-00232_20260303083857_a69</v>
      </c>
      <c r="CX8" t="str">
        <v>PFA-00245</v>
      </c>
      <c r="CY8" t="str">
        <v>PSA-00257</v>
      </c>
      <c r="CZ8" t="str">
        <v>PSF-00232</v>
      </c>
      <c r="DA8" t="str">
        <v>RHS-00222</v>
      </c>
      <c r="DB8" t="str">
        <v>3.0.0</v>
      </c>
      <c r="DC8" t="str">
        <v>2021-01-19T12:57:14.097Z</v>
      </c>
    </row>
    <row r="9">
      <c r="A9" t="str">
        <v>5</v>
      </c>
      <c r="B9" t="str">
        <v>08:40:59</v>
      </c>
      <c r="C9" t="str">
        <v>2026-03-03</v>
      </c>
      <c r="D9" t="str">
        <v>Manual gsw+F</v>
      </c>
      <c r="E9" t="str">
        <v>LI-COR Default</v>
      </c>
      <c r="F9" t="str">
        <v/>
      </c>
      <c r="G9" t="str">
        <v>005</v>
      </c>
      <c r="H9" t="str">
        <v/>
      </c>
      <c r="I9" t="str">
        <v/>
      </c>
      <c r="J9" t="str">
        <f>1/((1/L9)-(1/K9))</f>
        <v>0.298128</v>
      </c>
      <c r="K9" t="str">
        <f>BH9+(BI9*AN9)+(BJ9*AN9*POWER(V9,2))+(BK9*AN9*V9)+(BL9*POWER(AN9,2))</f>
        <v>2.081361</v>
      </c>
      <c r="L9" t="str">
        <f>((M9/1000)*(1000-((T9+S9)/2)))/(T9-S9)</f>
        <v>0.260775</v>
      </c>
      <c r="M9" t="str">
        <f>(AN9*(S9-R9))/(100*U9*(1000-S9))*1000</f>
        <v>1.139048</v>
      </c>
      <c r="N9" t="str">
        <v>1.027827</v>
      </c>
      <c r="O9" t="str">
        <v>0.971338</v>
      </c>
      <c r="P9" t="str">
        <f>0.61365*EXP((17.502*AL9)/(240.97+AL9))</f>
        <v>1.467534</v>
      </c>
      <c r="Q9" t="str">
        <f>P9-N9</f>
        <v>0.439707</v>
      </c>
      <c r="R9" t="str">
        <v>9.530885</v>
      </c>
      <c r="S9" t="str">
        <v>10.085168</v>
      </c>
      <c r="T9" t="str">
        <f>(P9/AM9)*1000</f>
        <v>14.399623</v>
      </c>
      <c r="U9" t="str">
        <f>V9*BG9</f>
        <v>0.441786</v>
      </c>
      <c r="V9" t="str">
        <v>7.500000</v>
      </c>
      <c r="W9" t="str">
        <v>PSF-00232_20260303084059_8a6</v>
      </c>
      <c r="X9" t="str">
        <v>0.000000</v>
      </c>
      <c r="Y9" t="str">
        <v>0.000000</v>
      </c>
      <c r="Z9" t="str">
        <v>0.000000</v>
      </c>
      <c r="AA9" t="str">
        <v>101.812363</v>
      </c>
      <c r="AB9" t="str">
        <v>425.171265</v>
      </c>
      <c r="AC9" t="str">
        <v>0.760538</v>
      </c>
      <c r="AD9" t="str">
        <v>0.5</v>
      </c>
      <c r="AE9" t="str">
        <v>0.80</v>
      </c>
      <c r="AF9" t="str">
        <f>AC9*AD9*AE9*AQ9</f>
        <v>0.501362</v>
      </c>
      <c r="AG9" t="str">
        <v>1.000000</v>
      </c>
      <c r="AH9" t="str">
        <v>67.32</v>
      </c>
      <c r="AI9" t="str">
        <v>63.62</v>
      </c>
      <c r="AJ9" t="str">
        <v>13.24</v>
      </c>
      <c r="AK9" t="str">
        <v>12.63</v>
      </c>
      <c r="AL9" t="str">
        <f>(AK9-AJ9)*(AJ9*0+0)+AK9</f>
        <v>12.63</v>
      </c>
      <c r="AM9" t="str">
        <v>101.91</v>
      </c>
      <c r="AN9" t="str">
        <v>89.9</v>
      </c>
      <c r="AO9" t="str">
        <v>-13.6</v>
      </c>
      <c r="AP9" t="str">
        <v>115.1</v>
      </c>
      <c r="AQ9" t="str">
        <v>2</v>
      </c>
      <c r="AR9" t="str">
        <v>3.988</v>
      </c>
      <c r="AS9" t="str">
        <v>08:33:05</v>
      </c>
      <c r="AT9" t="str">
        <v>2026-03-03</v>
      </c>
      <c r="AU9" t="str">
        <v>-0.85</v>
      </c>
      <c r="AV9" t="str">
        <v>1</v>
      </c>
      <c r="AW9" t="str">
        <v>0.000</v>
      </c>
      <c r="AX9" t="str">
        <v>0.004</v>
      </c>
      <c r="AY9" t="str">
        <v>0.001</v>
      </c>
      <c r="AZ9" t="str">
        <v>0.276</v>
      </c>
      <c r="BA9" t="str">
        <v>0.637</v>
      </c>
      <c r="BB9" t="str">
        <v>1.413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-9999.000000</v>
      </c>
      <c r="BS9" t="str">
        <v>-9999.000000</v>
      </c>
      <c r="BT9" t="str">
        <v>300</v>
      </c>
      <c r="BU9" t="str">
        <v>300</v>
      </c>
      <c r="BV9" t="str">
        <v>300</v>
      </c>
      <c r="BW9" t="str">
        <v>425.171265</v>
      </c>
      <c r="BX9" t="str">
        <v>25</v>
      </c>
      <c r="BY9" t="str">
        <v>1.987871</v>
      </c>
      <c r="BZ9" t="str">
        <v>425.852173</v>
      </c>
      <c r="CA9" t="str">
        <v>428.019714</v>
      </c>
      <c r="CB9" t="str">
        <v>-2.167542</v>
      </c>
      <c r="CC9" t="str">
        <v>2.505078</v>
      </c>
      <c r="CD9" t="str">
        <v>2.520079</v>
      </c>
      <c r="CE9" t="str">
        <v>1.127205</v>
      </c>
      <c r="CF9" t="str">
        <v>0.578271</v>
      </c>
      <c r="CG9" t="str">
        <v>0.437339</v>
      </c>
      <c r="CH9" t="str">
        <v>-0.004572</v>
      </c>
      <c r="CI9" t="str">
        <v>0.289656</v>
      </c>
      <c r="CJ9" t="str">
        <v>0.108445</v>
      </c>
      <c r="CK9" t="str">
        <v>101.812363</v>
      </c>
      <c r="CL9" t="str">
        <v>0.000640</v>
      </c>
      <c r="CM9" t="str">
        <v>2.400430</v>
      </c>
      <c r="CN9" t="str">
        <v>-0.000041</v>
      </c>
      <c r="CO9" t="str">
        <v>1.000000</v>
      </c>
      <c r="CP9" t="str">
        <v>2.408421</v>
      </c>
      <c r="CQ9" t="str">
        <v>-0.000039</v>
      </c>
      <c r="CR9" t="str">
        <v>1.000000</v>
      </c>
      <c r="CS9" t="str">
        <v>0.600250</v>
      </c>
      <c r="CT9" t="str">
        <v>0.601702</v>
      </c>
      <c r="CU9" t="str">
        <v>0.107071</v>
      </c>
      <c r="CV9" t="str">
        <v>0.000000</v>
      </c>
      <c r="CW9" t="str">
        <v>PSF-00232_20260303084059_8a6</v>
      </c>
      <c r="CX9" t="str">
        <v>PFA-00245</v>
      </c>
      <c r="CY9" t="str">
        <v>PSA-00257</v>
      </c>
      <c r="CZ9" t="str">
        <v>PSF-00232</v>
      </c>
      <c r="DA9" t="str">
        <v>RHS-00222</v>
      </c>
      <c r="DB9" t="str">
        <v>3.0.0</v>
      </c>
      <c r="DC9" t="str">
        <v>2021-01-19T12:57:14.097Z</v>
      </c>
    </row>
    <row r="10">
      <c r="A10" t="str">
        <v>6</v>
      </c>
      <c r="B10" t="str">
        <v>08:46:51</v>
      </c>
      <c r="C10" t="str">
        <v>2026-03-03</v>
      </c>
      <c r="D10" t="str">
        <v>Manual gsw+F</v>
      </c>
      <c r="E10" t="str">
        <v>LI-COR Default</v>
      </c>
      <c r="F10" t="str">
        <v/>
      </c>
      <c r="G10" t="str">
        <v>006</v>
      </c>
      <c r="H10" t="str">
        <v/>
      </c>
      <c r="I10" t="str">
        <v/>
      </c>
      <c r="J10" t="str">
        <f>1/((1/L10)-(1/K10))</f>
        <v>0.152666</v>
      </c>
      <c r="K10" t="str">
        <f>BH10+(BI10*AN10)+(BJ10*AN10*POWER(V10,2))+(BK10*AN10*V10)+(BL10*POWER(AN10,2))</f>
        <v>1.967461</v>
      </c>
      <c r="L10" t="str">
        <f>((M10/1000)*(1000-((T10+S10)/2)))/(T10-S10)</f>
        <v>0.141673</v>
      </c>
      <c r="M10" t="str">
        <f>(AN10*(S10-R10))/(100*U10*(1000-S10))*1000</f>
        <v>0.701324</v>
      </c>
      <c r="N10" t="str">
        <v>1.026346</v>
      </c>
      <c r="O10" t="str">
        <v>0.988849</v>
      </c>
      <c r="P10" t="str">
        <f>0.61365*EXP((17.502*AL10)/(240.97+AL10))</f>
        <v>1.524591</v>
      </c>
      <c r="Q10" t="str">
        <f>P10-N10</f>
        <v>0.498245</v>
      </c>
      <c r="R10" t="str">
        <v>9.701756</v>
      </c>
      <c r="S10" t="str">
        <v>10.069640</v>
      </c>
      <c r="T10" t="str">
        <f>(P10/AM10)*1000</f>
        <v>14.958003</v>
      </c>
      <c r="U10" t="str">
        <f>V10*BG10</f>
        <v>0.441786</v>
      </c>
      <c r="V10" t="str">
        <v>7.500000</v>
      </c>
      <c r="W10" t="str">
        <v>PSF-00232_20260303084651_acc</v>
      </c>
      <c r="X10" t="str">
        <v>0.000000</v>
      </c>
      <c r="Y10" t="str">
        <v>0.000000</v>
      </c>
      <c r="Z10" t="str">
        <v>0.000000</v>
      </c>
      <c r="AA10" t="str">
        <v>97.775459</v>
      </c>
      <c r="AB10" t="str">
        <v>345.704041</v>
      </c>
      <c r="AC10" t="str">
        <v>0.717170</v>
      </c>
      <c r="AD10" t="str">
        <v>0.5</v>
      </c>
      <c r="AE10" t="str">
        <v>0.80</v>
      </c>
      <c r="AF10" t="str">
        <f>AC10*AD10*AE10*AQ10</f>
        <v>36.295235</v>
      </c>
      <c r="AG10" t="str">
        <v>1.000000</v>
      </c>
      <c r="AH10" t="str">
        <v>64.97</v>
      </c>
      <c r="AI10" t="str">
        <v>62.60</v>
      </c>
      <c r="AJ10" t="str">
        <v>13.76</v>
      </c>
      <c r="AK10" t="str">
        <v>13.22</v>
      </c>
      <c r="AL10" t="str">
        <f>(AK10-AJ10)*(AJ10*0+0)+AK10</f>
        <v>13.22</v>
      </c>
      <c r="AM10" t="str">
        <v>101.92</v>
      </c>
      <c r="AN10" t="str">
        <v>83.4</v>
      </c>
      <c r="AO10" t="str">
        <v>-13.5</v>
      </c>
      <c r="AP10" t="str">
        <v>116.2</v>
      </c>
      <c r="AQ10" t="str">
        <v>127</v>
      </c>
      <c r="AR10" t="str">
        <v>3.978</v>
      </c>
      <c r="AS10" t="str">
        <v>08:45:54</v>
      </c>
      <c r="AT10" t="str">
        <v>2026-03-03</v>
      </c>
      <c r="AU10" t="str">
        <v>-0.69</v>
      </c>
      <c r="AV10" t="str">
        <v>1</v>
      </c>
      <c r="AW10" t="str">
        <v>-0.001</v>
      </c>
      <c r="AX10" t="str">
        <v>-0.002</v>
      </c>
      <c r="AY10" t="str">
        <v>-0.003</v>
      </c>
      <c r="AZ10" t="str">
        <v>-0.070</v>
      </c>
      <c r="BA10" t="str">
        <v>0.229</v>
      </c>
      <c r="BB10" t="str">
        <v>0.183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-9999.000000</v>
      </c>
      <c r="BS10" t="str">
        <v>-9999.000000</v>
      </c>
      <c r="BT10" t="str">
        <v>300</v>
      </c>
      <c r="BU10" t="str">
        <v>300</v>
      </c>
      <c r="BV10" t="str">
        <v>300</v>
      </c>
      <c r="BW10" t="str">
        <v>340.680969</v>
      </c>
      <c r="BX10" t="str">
        <v>25</v>
      </c>
      <c r="BY10" t="str">
        <v>-3.339115</v>
      </c>
      <c r="BZ10" t="str">
        <v>341.095459</v>
      </c>
      <c r="CA10" t="str">
        <v>340.919403</v>
      </c>
      <c r="CB10" t="str">
        <v>0.176056</v>
      </c>
      <c r="CC10" t="str">
        <v>2.503516</v>
      </c>
      <c r="CD10" t="str">
        <v>2.516471</v>
      </c>
      <c r="CE10" t="str">
        <v>1.082598</v>
      </c>
      <c r="CF10" t="str">
        <v>0.578398</v>
      </c>
      <c r="CG10" t="str">
        <v>0.428250</v>
      </c>
      <c r="CH10" t="str">
        <v>-0.004059</v>
      </c>
      <c r="CI10" t="str">
        <v>0.307982</v>
      </c>
      <c r="CJ10" t="str">
        <v>0.212549</v>
      </c>
      <c r="CK10" t="str">
        <v>97.775459</v>
      </c>
      <c r="CL10" t="str">
        <v>0.000628</v>
      </c>
      <c r="CM10" t="str">
        <v>2.400430</v>
      </c>
      <c r="CN10" t="str">
        <v>-0.000041</v>
      </c>
      <c r="CO10" t="str">
        <v>1.000000</v>
      </c>
      <c r="CP10" t="str">
        <v>2.408421</v>
      </c>
      <c r="CQ10" t="str">
        <v>-0.000039</v>
      </c>
      <c r="CR10" t="str">
        <v>1.000000</v>
      </c>
      <c r="CS10" t="str">
        <v>0.600250</v>
      </c>
      <c r="CT10" t="str">
        <v>0.601702</v>
      </c>
      <c r="CU10" t="str">
        <v>0.107071</v>
      </c>
      <c r="CV10" t="str">
        <v>0.000000</v>
      </c>
      <c r="CW10" t="str">
        <v>PSF-00232_20260303084651_acc</v>
      </c>
      <c r="CX10" t="str">
        <v>PFA-00245</v>
      </c>
      <c r="CY10" t="str">
        <v>PSA-00257</v>
      </c>
      <c r="CZ10" t="str">
        <v>PSF-00232</v>
      </c>
      <c r="DA10" t="str">
        <v>RHS-00222</v>
      </c>
      <c r="DB10" t="str">
        <v>3.0.0</v>
      </c>
      <c r="DC10" t="str">
        <v>2021-01-19T12:57:14.097Z</v>
      </c>
    </row>
    <row r="11">
      <c r="A11" t="str">
        <v>7</v>
      </c>
      <c r="B11" t="str">
        <v>08:53:12</v>
      </c>
      <c r="C11" t="str">
        <v>2026-03-03</v>
      </c>
      <c r="D11" t="str">
        <v>Manual gsw+F</v>
      </c>
      <c r="E11" t="str">
        <v>LI-COR Default</v>
      </c>
      <c r="F11" t="str">
        <v/>
      </c>
      <c r="G11" t="str">
        <v>007</v>
      </c>
      <c r="H11" t="str">
        <v/>
      </c>
      <c r="I11" t="str">
        <v/>
      </c>
      <c r="J11" t="str">
        <f>1/((1/L11)-(1/K11))</f>
        <v>0.114421</v>
      </c>
      <c r="K11" t="str">
        <f>BH11+(BI11*AN11)+(BJ11*AN11*POWER(V11,2))+(BK11*AN11*V11)+(BL11*POWER(AN11,2))</f>
        <v>1.892313</v>
      </c>
      <c r="L11" t="str">
        <f>((M11/1000)*(1000-((T11+S11)/2)))/(T11-S11)</f>
        <v>0.107897</v>
      </c>
      <c r="M11" t="str">
        <f>(AN11*(S11-R11))/(100*U11*(1000-S11))*1000</f>
        <v>0.675875</v>
      </c>
      <c r="N11" t="str">
        <v>1.051759</v>
      </c>
      <c r="O11" t="str">
        <v>1.013749</v>
      </c>
      <c r="P11" t="str">
        <f>0.61365*EXP((17.502*AL11)/(240.97+AL11))</f>
        <v>1.681764</v>
      </c>
      <c r="Q11" t="str">
        <f>P11-N11</f>
        <v>0.630004</v>
      </c>
      <c r="R11" t="str">
        <v>9.944494</v>
      </c>
      <c r="S11" t="str">
        <v>10.317361</v>
      </c>
      <c r="T11" t="str">
        <f>(P11/AM11)*1000</f>
        <v>16.497465</v>
      </c>
      <c r="U11" t="str">
        <f>V11*BG11</f>
        <v>0.441786</v>
      </c>
      <c r="V11" t="str">
        <v>7.500000</v>
      </c>
      <c r="W11" t="str">
        <v>PSF-00232_20260303085312_fc6</v>
      </c>
      <c r="X11" t="str">
        <v>0.000000</v>
      </c>
      <c r="Y11" t="str">
        <v>0.000000</v>
      </c>
      <c r="Z11" t="str">
        <v>0.000000</v>
      </c>
      <c r="AA11" t="str">
        <v>111.735825</v>
      </c>
      <c r="AB11" t="str">
        <v>160.813797</v>
      </c>
      <c r="AC11" t="str">
        <v>0.305185</v>
      </c>
      <c r="AD11" t="str">
        <v>0.5</v>
      </c>
      <c r="AE11" t="str">
        <v>0.80</v>
      </c>
      <c r="AF11" t="str">
        <f>AC11*AD11*AE11*AQ11</f>
        <v>82.413422</v>
      </c>
      <c r="AG11" t="str">
        <v>1.000000</v>
      </c>
      <c r="AH11" t="str">
        <v>65.20</v>
      </c>
      <c r="AI11" t="str">
        <v>62.84</v>
      </c>
      <c r="AJ11" t="str">
        <v>14.09</v>
      </c>
      <c r="AK11" t="str">
        <v>14.73</v>
      </c>
      <c r="AL11" t="str">
        <f>(AK11-AJ11)*(AJ11*0+0)+AK11</f>
        <v>14.73</v>
      </c>
      <c r="AM11" t="str">
        <v>101.94</v>
      </c>
      <c r="AN11" t="str">
        <v>79.3</v>
      </c>
      <c r="AO11" t="str">
        <v>-12.8</v>
      </c>
      <c r="AP11" t="str">
        <v>116.2</v>
      </c>
      <c r="AQ11" t="str">
        <v>675</v>
      </c>
      <c r="AR11" t="str">
        <v>3.973</v>
      </c>
      <c r="AS11" t="str">
        <v>08:45:54</v>
      </c>
      <c r="AT11" t="str">
        <v>2026-03-03</v>
      </c>
      <c r="AU11" t="str">
        <v>-0.69</v>
      </c>
      <c r="AV11" t="str">
        <v>1</v>
      </c>
      <c r="AW11" t="str">
        <v>0.000</v>
      </c>
      <c r="AX11" t="str">
        <v>0.002</v>
      </c>
      <c r="AY11" t="str">
        <v>0.004</v>
      </c>
      <c r="AZ11" t="str">
        <v>-0.144</v>
      </c>
      <c r="BA11" t="str">
        <v>-0.498</v>
      </c>
      <c r="BB11" t="str">
        <v>-1.130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-9999.000000</v>
      </c>
      <c r="BS11" t="str">
        <v>-9999.000000</v>
      </c>
      <c r="BT11" t="str">
        <v>300</v>
      </c>
      <c r="BU11" t="str">
        <v>300</v>
      </c>
      <c r="BV11" t="str">
        <v>300</v>
      </c>
      <c r="BW11" t="str">
        <v>158.379074</v>
      </c>
      <c r="BX11" t="str">
        <v>25</v>
      </c>
      <c r="BY11" t="str">
        <v>-1.673185</v>
      </c>
      <c r="BZ11" t="str">
        <v>158.171295</v>
      </c>
      <c r="CA11" t="str">
        <v>158.416275</v>
      </c>
      <c r="CB11" t="str">
        <v>-0.244980</v>
      </c>
      <c r="CC11" t="str">
        <v>2.503767</v>
      </c>
      <c r="CD11" t="str">
        <v>2.516700</v>
      </c>
      <c r="CE11" t="str">
        <v>1.054864</v>
      </c>
      <c r="CF11" t="str">
        <v>0.579598</v>
      </c>
      <c r="CG11" t="str">
        <v>0.422716</v>
      </c>
      <c r="CH11" t="str">
        <v>0.008463</v>
      </c>
      <c r="CI11" t="str">
        <v>0.326266</v>
      </c>
      <c r="CJ11" t="str">
        <v>0.669890</v>
      </c>
      <c r="CK11" t="str">
        <v>112.225769</v>
      </c>
      <c r="CL11" t="str">
        <v>0.000620</v>
      </c>
      <c r="CM11" t="str">
        <v>2.400430</v>
      </c>
      <c r="CN11" t="str">
        <v>-0.000041</v>
      </c>
      <c r="CO11" t="str">
        <v>1.000000</v>
      </c>
      <c r="CP11" t="str">
        <v>2.408421</v>
      </c>
      <c r="CQ11" t="str">
        <v>-0.000039</v>
      </c>
      <c r="CR11" t="str">
        <v>1.000000</v>
      </c>
      <c r="CS11" t="str">
        <v>0.600250</v>
      </c>
      <c r="CT11" t="str">
        <v>0.601702</v>
      </c>
      <c r="CU11" t="str">
        <v>0.107071</v>
      </c>
      <c r="CV11" t="str">
        <v>0.000000</v>
      </c>
      <c r="CW11" t="str">
        <v>PSF-00232_20260303085312_fc6</v>
      </c>
      <c r="CX11" t="str">
        <v>PFA-00245</v>
      </c>
      <c r="CY11" t="str">
        <v>PSA-00257</v>
      </c>
      <c r="CZ11" t="str">
        <v>PSF-00232</v>
      </c>
      <c r="DA11" t="str">
        <v>RHS-00222</v>
      </c>
      <c r="DB11" t="str">
        <v>3.0.0</v>
      </c>
      <c r="DC11" t="str">
        <v>2021-01-19T12:57:14.097Z</v>
      </c>
    </row>
    <row r="12">
      <c r="A12" t="str">
        <v>8</v>
      </c>
      <c r="B12" t="str">
        <v>08:56:26</v>
      </c>
      <c r="C12" t="str">
        <v>2026-03-03</v>
      </c>
      <c r="D12" t="str">
        <v>Manual gsw+F</v>
      </c>
      <c r="E12" t="str">
        <v>LI-COR Default</v>
      </c>
      <c r="F12" t="str">
        <v/>
      </c>
      <c r="G12" t="str">
        <v>008</v>
      </c>
      <c r="H12" t="str">
        <v/>
      </c>
      <c r="I12" t="str">
        <v/>
      </c>
      <c r="J12" t="str">
        <f>1/((1/L12)-(1/K12))</f>
        <v>0.068289</v>
      </c>
      <c r="K12" t="str">
        <f>BH12+(BI12*AN12)+(BJ12*AN12*POWER(V12,2))+(BK12*AN12*V12)+(BL12*POWER(AN12,2))</f>
        <v>1.863653</v>
      </c>
      <c r="L12" t="str">
        <f>((M12/1000)*(1000-((T12+S12)/2)))/(T12-S12)</f>
        <v>0.065875</v>
      </c>
      <c r="M12" t="str">
        <f>(AN12*(S12-R12))/(100*U12*(1000-S12))*1000</f>
        <v>0.605440</v>
      </c>
      <c r="N12" t="str">
        <v>1.061764</v>
      </c>
      <c r="O12" t="str">
        <v>1.027045</v>
      </c>
      <c r="P12" t="str">
        <f>0.61365*EXP((17.502*AL12)/(240.97+AL12))</f>
        <v>1.984662</v>
      </c>
      <c r="Q12" t="str">
        <f>P12-N12</f>
        <v>0.922898</v>
      </c>
      <c r="R12" t="str">
        <v>10.075042</v>
      </c>
      <c r="S12" t="str">
        <v>10.415630</v>
      </c>
      <c r="T12" t="str">
        <f>(P12/AM12)*1000</f>
        <v>19.469019</v>
      </c>
      <c r="U12" t="str">
        <f>V12*BG12</f>
        <v>0.441786</v>
      </c>
      <c r="V12" t="str">
        <v>7.500000</v>
      </c>
      <c r="W12" t="str">
        <v>PSF-00232_20260303085626_fa6</v>
      </c>
      <c r="X12" t="str">
        <v>0.000000</v>
      </c>
      <c r="Y12" t="str">
        <v>0.000000</v>
      </c>
      <c r="Z12" t="str">
        <v>0.000000</v>
      </c>
      <c r="AA12" t="str">
        <v>129.625443</v>
      </c>
      <c r="AB12" t="str">
        <v>176.638245</v>
      </c>
      <c r="AC12" t="str">
        <v>0.266153</v>
      </c>
      <c r="AD12" t="str">
        <v>0.5</v>
      </c>
      <c r="AE12" t="str">
        <v>0.80</v>
      </c>
      <c r="AF12" t="str">
        <f>AC12*AD12*AE12*AQ12</f>
        <v>109.734482</v>
      </c>
      <c r="AG12" t="str">
        <v>1.000000</v>
      </c>
      <c r="AH12" t="str">
        <v>64.73</v>
      </c>
      <c r="AI12" t="str">
        <v>62.61</v>
      </c>
      <c r="AJ12" t="str">
        <v>14.34</v>
      </c>
      <c r="AK12" t="str">
        <v>17.32</v>
      </c>
      <c r="AL12" t="str">
        <f>(AK12-AJ12)*(AJ12*0+0)+AK12</f>
        <v>17.32</v>
      </c>
      <c r="AM12" t="str">
        <v>101.94</v>
      </c>
      <c r="AN12" t="str">
        <v>77.7</v>
      </c>
      <c r="AO12" t="str">
        <v>-9.9</v>
      </c>
      <c r="AP12" t="str">
        <v>112.8</v>
      </c>
      <c r="AQ12" t="str">
        <v>1031</v>
      </c>
      <c r="AR12" t="str">
        <v>3.969</v>
      </c>
      <c r="AS12" t="str">
        <v>08:45:54</v>
      </c>
      <c r="AT12" t="str">
        <v>2026-03-03</v>
      </c>
      <c r="AU12" t="str">
        <v>-0.69</v>
      </c>
      <c r="AV12" t="str">
        <v>1</v>
      </c>
      <c r="AW12" t="str">
        <v>-0.000</v>
      </c>
      <c r="AX12" t="str">
        <v>-0.000</v>
      </c>
      <c r="AY12" t="str">
        <v>-0.002</v>
      </c>
      <c r="AZ12" t="str">
        <v>-0.163</v>
      </c>
      <c r="BA12" t="str">
        <v>-0.192</v>
      </c>
      <c r="BB12" t="str">
        <v>-0.264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-9999.000000</v>
      </c>
      <c r="BS12" t="str">
        <v>-9999.000000</v>
      </c>
      <c r="BT12" t="str">
        <v>300</v>
      </c>
      <c r="BU12" t="str">
        <v>300</v>
      </c>
      <c r="BV12" t="str">
        <v>300</v>
      </c>
      <c r="BW12" t="str">
        <v>171.972153</v>
      </c>
      <c r="BX12" t="str">
        <v>25</v>
      </c>
      <c r="BY12" t="str">
        <v>-3.215780</v>
      </c>
      <c r="BZ12" t="str">
        <v>171.649216</v>
      </c>
      <c r="CA12" t="str">
        <v>172.030319</v>
      </c>
      <c r="CB12" t="str">
        <v>-0.381104</v>
      </c>
      <c r="CC12" t="str">
        <v>2.503370</v>
      </c>
      <c r="CD12" t="str">
        <v>2.515971</v>
      </c>
      <c r="CE12" t="str">
        <v>1.044612</v>
      </c>
      <c r="CF12" t="str">
        <v>0.584524</v>
      </c>
      <c r="CG12" t="str">
        <v>0.418336</v>
      </c>
      <c r="CH12" t="str">
        <v>0.033741</v>
      </c>
      <c r="CI12" t="str">
        <v>0.335017</v>
      </c>
      <c r="CJ12" t="str">
        <v>0.966373</v>
      </c>
      <c r="CK12" t="str">
        <v>129.625443</v>
      </c>
      <c r="CL12" t="str">
        <v>0.000625</v>
      </c>
      <c r="CM12" t="str">
        <v>2.400430</v>
      </c>
      <c r="CN12" t="str">
        <v>-0.000041</v>
      </c>
      <c r="CO12" t="str">
        <v>1.000000</v>
      </c>
      <c r="CP12" t="str">
        <v>2.408421</v>
      </c>
      <c r="CQ12" t="str">
        <v>-0.000039</v>
      </c>
      <c r="CR12" t="str">
        <v>1.000000</v>
      </c>
      <c r="CS12" t="str">
        <v>0.600250</v>
      </c>
      <c r="CT12" t="str">
        <v>0.601702</v>
      </c>
      <c r="CU12" t="str">
        <v>0.107071</v>
      </c>
      <c r="CV12" t="str">
        <v>0.000000</v>
      </c>
      <c r="CW12" t="str">
        <v>PSF-00232_20260303085626_fa6</v>
      </c>
      <c r="CX12" t="str">
        <v>PFA-00245</v>
      </c>
      <c r="CY12" t="str">
        <v>PSA-00257</v>
      </c>
      <c r="CZ12" t="str">
        <v>PSF-00232</v>
      </c>
      <c r="DA12" t="str">
        <v>RHS-00222</v>
      </c>
      <c r="DB12" t="str">
        <v>3.0.0</v>
      </c>
      <c r="DC12" t="str">
        <v>2021-01-19T12:57:14.097Z</v>
      </c>
    </row>
    <row r="13">
      <c r="A13" t="str">
        <v>9</v>
      </c>
      <c r="B13" t="str">
        <v>08:59:59</v>
      </c>
      <c r="C13" t="str">
        <v>2026-03-03</v>
      </c>
      <c r="D13" t="str">
        <v>Manual gsw+F</v>
      </c>
      <c r="E13" t="str">
        <v>LI-COR Default</v>
      </c>
      <c r="F13" t="str">
        <v/>
      </c>
      <c r="G13" t="str">
        <v>009</v>
      </c>
      <c r="H13" t="str">
        <v/>
      </c>
      <c r="I13" t="str">
        <v/>
      </c>
      <c r="J13" t="str">
        <f>1/((1/L13)-(1/K13))</f>
        <v>0.054320</v>
      </c>
      <c r="K13" t="str">
        <f>BH13+(BI13*AN13)+(BJ13*AN13*POWER(V13,2))+(BK13*AN13*V13)+(BL13*POWER(AN13,2))</f>
        <v>1.813397</v>
      </c>
      <c r="L13" t="str">
        <f>((M13/1000)*(1000-((T13+S13)/2)))/(T13-S13)</f>
        <v>0.052740</v>
      </c>
      <c r="M13" t="str">
        <f>(AN13*(S13-R13))/(100*U13*(1000-S13))*1000</f>
        <v>0.436173</v>
      </c>
      <c r="N13" t="str">
        <v>1.078449</v>
      </c>
      <c r="O13" t="str">
        <v>1.052545</v>
      </c>
      <c r="P13" t="str">
        <f>0.61365*EXP((17.502*AL13)/(240.97+AL13))</f>
        <v>1.909455</v>
      </c>
      <c r="Q13" t="str">
        <f>P13-N13</f>
        <v>0.831006</v>
      </c>
      <c r="R13" t="str">
        <v>10.321502</v>
      </c>
      <c r="S13" t="str">
        <v>10.575516</v>
      </c>
      <c r="T13" t="str">
        <f>(P13/AM13)*1000</f>
        <v>18.724550</v>
      </c>
      <c r="U13" t="str">
        <f>V13*BG13</f>
        <v>0.441786</v>
      </c>
      <c r="V13" t="str">
        <v>7.500000</v>
      </c>
      <c r="W13" t="str">
        <v>PSF-00232_20260303085959_cda</v>
      </c>
      <c r="X13" t="str">
        <v>0.000000</v>
      </c>
      <c r="Y13" t="str">
        <v>0.000000</v>
      </c>
      <c r="Z13" t="str">
        <v>0.000000</v>
      </c>
      <c r="AA13" t="str">
        <v>113.195297</v>
      </c>
      <c r="AB13" t="str">
        <v>148.869080</v>
      </c>
      <c r="AC13" t="str">
        <v>0.239632</v>
      </c>
      <c r="AD13" t="str">
        <v>0.5</v>
      </c>
      <c r="AE13" t="str">
        <v>0.80</v>
      </c>
      <c r="AF13" t="str">
        <f>AC13*AD13*AE13*AQ13</f>
        <v>97.753395</v>
      </c>
      <c r="AG13" t="str">
        <v>1.000000</v>
      </c>
      <c r="AH13" t="str">
        <v>63.42</v>
      </c>
      <c r="AI13" t="str">
        <v>61.90</v>
      </c>
      <c r="AJ13" t="str">
        <v>14.90</v>
      </c>
      <c r="AK13" t="str">
        <v>16.71</v>
      </c>
      <c r="AL13" t="str">
        <f>(AK13-AJ13)*(AJ13*0+0)+AK13</f>
        <v>16.71</v>
      </c>
      <c r="AM13" t="str">
        <v>101.98</v>
      </c>
      <c r="AN13" t="str">
        <v>75.1</v>
      </c>
      <c r="AO13" t="str">
        <v>-13.8</v>
      </c>
      <c r="AP13" t="str">
        <v>118.4</v>
      </c>
      <c r="AQ13" t="str">
        <v>1020</v>
      </c>
      <c r="AR13" t="str">
        <v>3.964</v>
      </c>
      <c r="AS13" t="str">
        <v>08:59:24</v>
      </c>
      <c r="AT13" t="str">
        <v>2026-03-03</v>
      </c>
      <c r="AU13" t="str">
        <v>-0.60</v>
      </c>
      <c r="AV13" t="str">
        <v>1</v>
      </c>
      <c r="AW13" t="str">
        <v>-0.001</v>
      </c>
      <c r="AX13" t="str">
        <v>0.000</v>
      </c>
      <c r="AY13" t="str">
        <v>0.001</v>
      </c>
      <c r="AZ13" t="str">
        <v>-0.138</v>
      </c>
      <c r="BA13" t="str">
        <v>-0.350</v>
      </c>
      <c r="BB13" t="str">
        <v>-0.655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-9999.000000</v>
      </c>
      <c r="BS13" t="str">
        <v>-9999.000000</v>
      </c>
      <c r="BT13" t="str">
        <v>300</v>
      </c>
      <c r="BU13" t="str">
        <v>300</v>
      </c>
      <c r="BV13" t="str">
        <v>300</v>
      </c>
      <c r="BW13" t="str">
        <v>145.282028</v>
      </c>
      <c r="BX13" t="str">
        <v>25</v>
      </c>
      <c r="BY13" t="str">
        <v>-2.438587</v>
      </c>
      <c r="BZ13" t="str">
        <v>145.273804</v>
      </c>
      <c r="CA13" t="str">
        <v>145.374802</v>
      </c>
      <c r="CB13" t="str">
        <v>-0.100998</v>
      </c>
      <c r="CC13" t="str">
        <v>2.502228</v>
      </c>
      <c r="CD13" t="str">
        <v>2.513876</v>
      </c>
      <c r="CE13" t="str">
        <v>1.027041</v>
      </c>
      <c r="CF13" t="str">
        <v>0.577859</v>
      </c>
      <c r="CG13" t="str">
        <v>0.409076</v>
      </c>
      <c r="CH13" t="str">
        <v>0.020997</v>
      </c>
      <c r="CI13" t="str">
        <v>0.343938</v>
      </c>
      <c r="CJ13" t="str">
        <v>0.957272</v>
      </c>
      <c r="CK13" t="str">
        <v>113.195297</v>
      </c>
      <c r="CL13" t="str">
        <v>0.000613</v>
      </c>
      <c r="CM13" t="str">
        <v>2.400430</v>
      </c>
      <c r="CN13" t="str">
        <v>-0.000041</v>
      </c>
      <c r="CO13" t="str">
        <v>1.000000</v>
      </c>
      <c r="CP13" t="str">
        <v>2.408421</v>
      </c>
      <c r="CQ13" t="str">
        <v>-0.000039</v>
      </c>
      <c r="CR13" t="str">
        <v>1.000000</v>
      </c>
      <c r="CS13" t="str">
        <v>0.600250</v>
      </c>
      <c r="CT13" t="str">
        <v>0.601702</v>
      </c>
      <c r="CU13" t="str">
        <v>0.107071</v>
      </c>
      <c r="CV13" t="str">
        <v>0.000000</v>
      </c>
      <c r="CW13" t="str">
        <v>PSF-00232_20260303085959_cda</v>
      </c>
      <c r="CX13" t="str">
        <v>PFA-00245</v>
      </c>
      <c r="CY13" t="str">
        <v>PSA-00257</v>
      </c>
      <c r="CZ13" t="str">
        <v>PSF-00232</v>
      </c>
      <c r="DA13" t="str">
        <v>RHS-00222</v>
      </c>
      <c r="DB13" t="str">
        <v>3.0.0</v>
      </c>
      <c r="DC13" t="str">
        <v>2021-01-19T12:57:14.097Z</v>
      </c>
    </row>
    <row r="14">
      <c r="A14" t="str">
        <v>10</v>
      </c>
      <c r="B14" t="str">
        <v>09:03:37</v>
      </c>
      <c r="C14" t="str">
        <v>2026-03-03</v>
      </c>
      <c r="D14" t="str">
        <v>Manual gsw+F</v>
      </c>
      <c r="E14" t="str">
        <v>LI-COR Default</v>
      </c>
      <c r="F14" t="str">
        <v/>
      </c>
      <c r="G14" t="str">
        <v>010</v>
      </c>
      <c r="H14" t="str">
        <v/>
      </c>
      <c r="I14" t="str">
        <v/>
      </c>
      <c r="J14" t="str">
        <f>1/((1/L14)-(1/K14))</f>
        <v>0.033115</v>
      </c>
      <c r="K14" t="str">
        <f>BH14+(BI14*AN14)+(BJ14*AN14*POWER(V14,2))+(BK14*AN14*V14)+(BL14*POWER(AN14,2))</f>
        <v>1.767955</v>
      </c>
      <c r="L14" t="str">
        <f>((M14/1000)*(1000-((T14+S14)/2)))/(T14-S14)</f>
        <v>0.032506</v>
      </c>
      <c r="M14" t="str">
        <f>(AN14*(S14-R14))/(100*U14*(1000-S14))*1000</f>
        <v>0.314122</v>
      </c>
      <c r="N14" t="str">
        <v>1.104777</v>
      </c>
      <c r="O14" t="str">
        <v>1.085521</v>
      </c>
      <c r="P14" t="str">
        <f>0.61365*EXP((17.502*AL14)/(240.97+AL14))</f>
        <v>2.074901</v>
      </c>
      <c r="Q14" t="str">
        <f>P14-N14</f>
        <v>0.970124</v>
      </c>
      <c r="R14" t="str">
        <v>10.644502</v>
      </c>
      <c r="S14" t="str">
        <v>10.833328</v>
      </c>
      <c r="T14" t="str">
        <f>(P14/AM14)*1000</f>
        <v>20.346258</v>
      </c>
      <c r="U14" t="str">
        <f>V14*BG14</f>
        <v>0.441786</v>
      </c>
      <c r="V14" t="str">
        <v>7.500000</v>
      </c>
      <c r="W14" t="str">
        <v>PSF-00232_20260303090337_f29</v>
      </c>
      <c r="X14" t="str">
        <v>0.000000</v>
      </c>
      <c r="Y14" t="str">
        <v>0.000000</v>
      </c>
      <c r="Z14" t="str">
        <v>0.000000</v>
      </c>
      <c r="AA14" t="str">
        <v>82.692505</v>
      </c>
      <c r="AB14" t="str">
        <v>119.038086</v>
      </c>
      <c r="AC14" t="str">
        <v>0.305327</v>
      </c>
      <c r="AD14" t="str">
        <v>0.5</v>
      </c>
      <c r="AE14" t="str">
        <v>0.80</v>
      </c>
      <c r="AF14" t="str">
        <f>AC14*AD14*AE14*AQ14</f>
        <v>131.491638</v>
      </c>
      <c r="AG14" t="str">
        <v>1.000000</v>
      </c>
      <c r="AH14" t="str">
        <v>62.70</v>
      </c>
      <c r="AI14" t="str">
        <v>61.61</v>
      </c>
      <c r="AJ14" t="str">
        <v>15.45</v>
      </c>
      <c r="AK14" t="str">
        <v>18.03</v>
      </c>
      <c r="AL14" t="str">
        <f>(AK14-AJ14)*(AJ14*0+0)+AK14</f>
        <v>18.03</v>
      </c>
      <c r="AM14" t="str">
        <v>101.98</v>
      </c>
      <c r="AN14" t="str">
        <v>72.7</v>
      </c>
      <c r="AO14" t="str">
        <v>-13.2</v>
      </c>
      <c r="AP14" t="str">
        <v>118.1</v>
      </c>
      <c r="AQ14" t="str">
        <v>1077</v>
      </c>
      <c r="AR14" t="str">
        <v>3.956</v>
      </c>
      <c r="AS14" t="str">
        <v>08:59:24</v>
      </c>
      <c r="AT14" t="str">
        <v>2026-03-03</v>
      </c>
      <c r="AU14" t="str">
        <v>-0.60</v>
      </c>
      <c r="AV14" t="str">
        <v>1</v>
      </c>
      <c r="AW14" t="str">
        <v>-0.001</v>
      </c>
      <c r="AX14" t="str">
        <v>-0.001</v>
      </c>
      <c r="AY14" t="str">
        <v>-0.003</v>
      </c>
      <c r="AZ14" t="str">
        <v>0.085</v>
      </c>
      <c r="BA14" t="str">
        <v>0.029</v>
      </c>
      <c r="BB14" t="str">
        <v>-0.093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-9999.000000</v>
      </c>
      <c r="BS14" t="str">
        <v>-9999.000000</v>
      </c>
      <c r="BT14" t="str">
        <v>300</v>
      </c>
      <c r="BU14" t="str">
        <v>300</v>
      </c>
      <c r="BV14" t="str">
        <v>300</v>
      </c>
      <c r="BW14" t="str">
        <v>113.963844</v>
      </c>
      <c r="BX14" t="str">
        <v>25</v>
      </c>
      <c r="BY14" t="str">
        <v>-3.462450</v>
      </c>
      <c r="BZ14" t="str">
        <v>114.057899</v>
      </c>
      <c r="CA14" t="str">
        <v>114.076714</v>
      </c>
      <c r="CB14" t="str">
        <v>-0.018814</v>
      </c>
      <c r="CC14" t="str">
        <v>2.501671</v>
      </c>
      <c r="CD14" t="str">
        <v>2.512718</v>
      </c>
      <c r="CE14" t="str">
        <v>1.011581</v>
      </c>
      <c r="CF14" t="str">
        <v>0.579007</v>
      </c>
      <c r="CG14" t="str">
        <v>0.400070</v>
      </c>
      <c r="CH14" t="str">
        <v>0.029359</v>
      </c>
      <c r="CI14" t="str">
        <v>0.352673</v>
      </c>
      <c r="CJ14" t="str">
        <v>1.004638</v>
      </c>
      <c r="CK14" t="str">
        <v>82.692505</v>
      </c>
      <c r="CL14" t="str">
        <v>0.000605</v>
      </c>
      <c r="CM14" t="str">
        <v>2.400430</v>
      </c>
      <c r="CN14" t="str">
        <v>-0.000041</v>
      </c>
      <c r="CO14" t="str">
        <v>1.000000</v>
      </c>
      <c r="CP14" t="str">
        <v>2.408421</v>
      </c>
      <c r="CQ14" t="str">
        <v>-0.000039</v>
      </c>
      <c r="CR14" t="str">
        <v>1.000000</v>
      </c>
      <c r="CS14" t="str">
        <v>0.600250</v>
      </c>
      <c r="CT14" t="str">
        <v>0.601702</v>
      </c>
      <c r="CU14" t="str">
        <v>0.107071</v>
      </c>
      <c r="CV14" t="str">
        <v>0.000000</v>
      </c>
      <c r="CW14" t="str">
        <v>PSF-00232_20260303090337_f29</v>
      </c>
      <c r="CX14" t="str">
        <v>PFA-00245</v>
      </c>
      <c r="CY14" t="str">
        <v>PSA-00257</v>
      </c>
      <c r="CZ14" t="str">
        <v>PSF-00232</v>
      </c>
      <c r="DA14" t="str">
        <v>RHS-00222</v>
      </c>
      <c r="DB14" t="str">
        <v>3.0.0</v>
      </c>
      <c r="DC14" t="str">
        <v>2021-01-19T12:57:14.097Z</v>
      </c>
    </row>
    <row r="15">
      <c r="A15" t="str">
        <v>11</v>
      </c>
      <c r="B15" t="str">
        <v>09:09:36</v>
      </c>
      <c r="C15" t="str">
        <v>2026-03-03</v>
      </c>
      <c r="D15" t="str">
        <v>Manual gsw+F</v>
      </c>
      <c r="E15" t="str">
        <v>LI-COR Default</v>
      </c>
      <c r="F15" t="str">
        <v/>
      </c>
      <c r="G15" t="str">
        <v>011</v>
      </c>
      <c r="H15" t="str">
        <v/>
      </c>
      <c r="I15" t="str">
        <v/>
      </c>
      <c r="J15" t="str">
        <f>1/((1/L15)-(1/K15))</f>
        <v>-0.051601</v>
      </c>
      <c r="K15" t="str">
        <f>BH15+(BI15*AN15)+(BJ15*AN15*POWER(V15,2))+(BK15*AN15*V15)+(BL15*POWER(AN15,2))</f>
        <v>1.729873</v>
      </c>
      <c r="L15" t="str">
        <f>((M15/1000)*(1000-((T15+S15)/2)))/(T15-S15)</f>
        <v>-0.053187</v>
      </c>
      <c r="M15" t="str">
        <f>(AN15*(S15-R15))/(100*U15*(1000-S15))*1000</f>
        <v>-0.569833</v>
      </c>
      <c r="N15" t="str">
        <v>1.062679</v>
      </c>
      <c r="O15" t="str">
        <v>1.098594</v>
      </c>
      <c r="P15" t="str">
        <f>0.61365*EXP((17.502*AL15)/(240.97+AL15))</f>
        <v>2.138283</v>
      </c>
      <c r="Q15" t="str">
        <f>P15-N15</f>
        <v>1.075604</v>
      </c>
      <c r="R15" t="str">
        <v>10.771028</v>
      </c>
      <c r="S15" t="str">
        <v>10.418903</v>
      </c>
      <c r="T15" t="str">
        <f>(P15/AM15)*1000</f>
        <v>20.964531</v>
      </c>
      <c r="U15" t="str">
        <f>V15*BG15</f>
        <v>0.441786</v>
      </c>
      <c r="V15" t="str">
        <v>7.500000</v>
      </c>
      <c r="W15" t="str">
        <v>PSF-00232_20260303090936_4cf</v>
      </c>
      <c r="X15" t="str">
        <v>0.000000</v>
      </c>
      <c r="Y15" t="str">
        <v>0.000000</v>
      </c>
      <c r="Z15" t="str">
        <v>0.000000</v>
      </c>
      <c r="AA15" t="str">
        <v>94.926598</v>
      </c>
      <c r="AB15" t="str">
        <v>137.846710</v>
      </c>
      <c r="AC15" t="str">
        <v>0.311361</v>
      </c>
      <c r="AD15" t="str">
        <v>0.5</v>
      </c>
      <c r="AE15" t="str">
        <v>0.80</v>
      </c>
      <c r="AF15" t="str">
        <f>AC15*AD15*AE15*AQ15</f>
        <v>134.571701</v>
      </c>
      <c r="AG15" t="str">
        <v>1.000000</v>
      </c>
      <c r="AH15" t="str">
        <v>56.43</v>
      </c>
      <c r="AI15" t="str">
        <v>58.34</v>
      </c>
      <c r="AJ15" t="str">
        <v>16.49</v>
      </c>
      <c r="AK15" t="str">
        <v>18.51</v>
      </c>
      <c r="AL15" t="str">
        <f>(AK15-AJ15)*(AJ15*0+0)+AK15</f>
        <v>18.51</v>
      </c>
      <c r="AM15" t="str">
        <v>102.00</v>
      </c>
      <c r="AN15" t="str">
        <v>70.7</v>
      </c>
      <c r="AO15" t="str">
        <v>-12.5</v>
      </c>
      <c r="AP15" t="str">
        <v>117.7</v>
      </c>
      <c r="AQ15" t="str">
        <v>1081</v>
      </c>
      <c r="AR15" t="str">
        <v>3.950</v>
      </c>
      <c r="AS15" t="str">
        <v>08:59:24</v>
      </c>
      <c r="AT15" t="str">
        <v>2026-03-03</v>
      </c>
      <c r="AU15" t="str">
        <v>-0.60</v>
      </c>
      <c r="AV15" t="str">
        <v>1</v>
      </c>
      <c r="AW15" t="str">
        <v>-0.000</v>
      </c>
      <c r="AX15" t="str">
        <v>-0.001</v>
      </c>
      <c r="AY15" t="str">
        <v>-0.000</v>
      </c>
      <c r="AZ15" t="str">
        <v>-0.198</v>
      </c>
      <c r="BA15" t="str">
        <v>-0.515</v>
      </c>
      <c r="BB15" t="str">
        <v>-1.161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-9999.000000</v>
      </c>
      <c r="BS15" t="str">
        <v>-9999.000000</v>
      </c>
      <c r="BT15" t="str">
        <v>300</v>
      </c>
      <c r="BU15" t="str">
        <v>300</v>
      </c>
      <c r="BV15" t="str">
        <v>300</v>
      </c>
      <c r="BW15" t="str">
        <v>132.880569</v>
      </c>
      <c r="BX15" t="str">
        <v>25</v>
      </c>
      <c r="BY15" t="str">
        <v>-3.418013</v>
      </c>
      <c r="BZ15" t="str">
        <v>132.708191</v>
      </c>
      <c r="CA15" t="str">
        <v>132.949005</v>
      </c>
      <c r="CB15" t="str">
        <v>-0.240814</v>
      </c>
      <c r="CC15" t="str">
        <v>2.496790</v>
      </c>
      <c r="CD15" t="str">
        <v>2.503576</v>
      </c>
      <c r="CE15" t="str">
        <v>0.998921</v>
      </c>
      <c r="CF15" t="str">
        <v>0.580062</v>
      </c>
      <c r="CG15" t="str">
        <v>0.383641</v>
      </c>
      <c r="CH15" t="str">
        <v>0.023178</v>
      </c>
      <c r="CI15" t="str">
        <v>0.366024</v>
      </c>
      <c r="CJ15" t="str">
        <v>1.007861</v>
      </c>
      <c r="CK15" t="str">
        <v>94.926598</v>
      </c>
      <c r="CL15" t="str">
        <v>0.000595</v>
      </c>
      <c r="CM15" t="str">
        <v>2.400430</v>
      </c>
      <c r="CN15" t="str">
        <v>-0.000041</v>
      </c>
      <c r="CO15" t="str">
        <v>1.000000</v>
      </c>
      <c r="CP15" t="str">
        <v>2.408421</v>
      </c>
      <c r="CQ15" t="str">
        <v>-0.000039</v>
      </c>
      <c r="CR15" t="str">
        <v>1.000000</v>
      </c>
      <c r="CS15" t="str">
        <v>0.600250</v>
      </c>
      <c r="CT15" t="str">
        <v>0.601702</v>
      </c>
      <c r="CU15" t="str">
        <v>0.107071</v>
      </c>
      <c r="CV15" t="str">
        <v>0.000000</v>
      </c>
      <c r="CW15" t="str">
        <v>PSF-00232_20260303090936_4cf</v>
      </c>
      <c r="CX15" t="str">
        <v>PFA-00245</v>
      </c>
      <c r="CY15" t="str">
        <v>PSA-00257</v>
      </c>
      <c r="CZ15" t="str">
        <v>PSF-00232</v>
      </c>
      <c r="DA15" t="str">
        <v>RHS-00222</v>
      </c>
      <c r="DB15" t="str">
        <v>3.0.0</v>
      </c>
      <c r="DC15" t="str">
        <v>2021-01-19T12:57:14.097Z</v>
      </c>
    </row>
    <row r="16">
      <c r="A16" t="str">
        <v>12</v>
      </c>
      <c r="B16" t="str">
        <v>09:14:13</v>
      </c>
      <c r="C16" t="str">
        <v>2026-03-03</v>
      </c>
      <c r="D16" t="str">
        <v>Manual gsw+F</v>
      </c>
      <c r="E16" t="str">
        <v>LI-COR Default</v>
      </c>
      <c r="F16" t="str">
        <v/>
      </c>
      <c r="G16" t="str">
        <v>012</v>
      </c>
      <c r="H16" t="str">
        <v/>
      </c>
      <c r="I16" t="str">
        <v/>
      </c>
      <c r="J16" t="str">
        <f>1/((1/L16)-(1/K16))</f>
        <v>-0.024096</v>
      </c>
      <c r="K16" t="str">
        <f>BH16+(BI16*AN16)+(BJ16*AN16*POWER(V16,2))+(BK16*AN16*V16)+(BL16*POWER(AN16,2))</f>
        <v>1.741739</v>
      </c>
      <c r="L16" t="str">
        <f>((M16/1000)*(1000-((T16+S16)/2)))/(T16-S16)</f>
        <v>-0.024434</v>
      </c>
      <c r="M16" t="str">
        <f>(AN16*(S16-R16))/(100*U16*(1000-S16))*1000</f>
        <v>-0.311732</v>
      </c>
      <c r="N16" t="str">
        <v>1.099091</v>
      </c>
      <c r="O16" t="str">
        <v>1.118566</v>
      </c>
      <c r="P16" t="str">
        <f>0.61365*EXP((17.502*AL16)/(240.97+AL16))</f>
        <v>2.378240</v>
      </c>
      <c r="Q16" t="str">
        <f>P16-N16</f>
        <v>1.279149</v>
      </c>
      <c r="R16" t="str">
        <v>10.966172</v>
      </c>
      <c r="S16" t="str">
        <v>10.775240</v>
      </c>
      <c r="T16" t="str">
        <f>(P16/AM16)*1000</f>
        <v>23.315735</v>
      </c>
      <c r="U16" t="str">
        <f>V16*BG16</f>
        <v>0.441786</v>
      </c>
      <c r="V16" t="str">
        <v>7.500000</v>
      </c>
      <c r="W16" t="str">
        <v>PSF-00232_20260303091413_758</v>
      </c>
      <c r="X16" t="str">
        <v>0.000000</v>
      </c>
      <c r="Y16" t="str">
        <v>0.000000</v>
      </c>
      <c r="Z16" t="str">
        <v>0.000000</v>
      </c>
      <c r="AA16" t="str">
        <v>79.666969</v>
      </c>
      <c r="AB16" t="str">
        <v>97.965279</v>
      </c>
      <c r="AC16" t="str">
        <v>0.186784</v>
      </c>
      <c r="AD16" t="str">
        <v>0.5</v>
      </c>
      <c r="AE16" t="str">
        <v>0.80</v>
      </c>
      <c r="AF16" t="str">
        <f>AC16*AD16*AE16*AQ16</f>
        <v>99.756981</v>
      </c>
      <c r="AG16" t="str">
        <v>1.000000</v>
      </c>
      <c r="AH16" t="str">
        <v>57.23</v>
      </c>
      <c r="AI16" t="str">
        <v>58.24</v>
      </c>
      <c r="AJ16" t="str">
        <v>16.80</v>
      </c>
      <c r="AK16" t="str">
        <v>20.22</v>
      </c>
      <c r="AL16" t="str">
        <f>(AK16-AJ16)*(AJ16*0+0)+AK16</f>
        <v>20.22</v>
      </c>
      <c r="AM16" t="str">
        <v>102.00</v>
      </c>
      <c r="AN16" t="str">
        <v>71.4</v>
      </c>
      <c r="AO16" t="str">
        <v>-12.9</v>
      </c>
      <c r="AP16" t="str">
        <v>118.1</v>
      </c>
      <c r="AQ16" t="str">
        <v>1335</v>
      </c>
      <c r="AR16" t="str">
        <v>3.940</v>
      </c>
      <c r="AS16" t="str">
        <v>09:13:33</v>
      </c>
      <c r="AT16" t="str">
        <v>2026-03-03</v>
      </c>
      <c r="AU16" t="str">
        <v>-0.18</v>
      </c>
      <c r="AV16" t="str">
        <v>1</v>
      </c>
      <c r="AW16" t="str">
        <v>0.000</v>
      </c>
      <c r="AX16" t="str">
        <v>0.001</v>
      </c>
      <c r="AY16" t="str">
        <v>0.000</v>
      </c>
      <c r="AZ16" t="str">
        <v>-0.010</v>
      </c>
      <c r="BA16" t="str">
        <v>0.239</v>
      </c>
      <c r="BB16" t="str">
        <v>0.331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-9999.000000</v>
      </c>
      <c r="BS16" t="str">
        <v>-9999.000000</v>
      </c>
      <c r="BT16" t="str">
        <v>300</v>
      </c>
      <c r="BU16" t="str">
        <v>300</v>
      </c>
      <c r="BV16" t="str">
        <v>300</v>
      </c>
      <c r="BW16" t="str">
        <v>95.676544</v>
      </c>
      <c r="BX16" t="str">
        <v>25</v>
      </c>
      <c r="BY16" t="str">
        <v>-1.580684</v>
      </c>
      <c r="BZ16" t="str">
        <v>95.650078</v>
      </c>
      <c r="CA16" t="str">
        <v>95.700302</v>
      </c>
      <c r="CB16" t="str">
        <v>-0.050224</v>
      </c>
      <c r="CC16" t="str">
        <v>2.496577</v>
      </c>
      <c r="CD16" t="str">
        <v>2.504040</v>
      </c>
      <c r="CE16" t="str">
        <v>1.002838</v>
      </c>
      <c r="CF16" t="str">
        <v>0.579483</v>
      </c>
      <c r="CG16" t="str">
        <v>0.378907</v>
      </c>
      <c r="CH16" t="str">
        <v>0.038850</v>
      </c>
      <c r="CI16" t="str">
        <v>0.376351</v>
      </c>
      <c r="CJ16" t="str">
        <v>1.220183</v>
      </c>
      <c r="CK16" t="str">
        <v>79.666969</v>
      </c>
      <c r="CL16" t="str">
        <v>0.000607</v>
      </c>
      <c r="CM16" t="str">
        <v>2.400430</v>
      </c>
      <c r="CN16" t="str">
        <v>-0.000041</v>
      </c>
      <c r="CO16" t="str">
        <v>1.000000</v>
      </c>
      <c r="CP16" t="str">
        <v>2.408421</v>
      </c>
      <c r="CQ16" t="str">
        <v>-0.000039</v>
      </c>
      <c r="CR16" t="str">
        <v>1.000000</v>
      </c>
      <c r="CS16" t="str">
        <v>0.600250</v>
      </c>
      <c r="CT16" t="str">
        <v>0.601702</v>
      </c>
      <c r="CU16" t="str">
        <v>0.107071</v>
      </c>
      <c r="CV16" t="str">
        <v>0.000000</v>
      </c>
      <c r="CW16" t="str">
        <v>PSF-00232_20260303091413_758</v>
      </c>
      <c r="CX16" t="str">
        <v>PFA-00245</v>
      </c>
      <c r="CY16" t="str">
        <v>PSA-00257</v>
      </c>
      <c r="CZ16" t="str">
        <v>PSF-00232</v>
      </c>
      <c r="DA16" t="str">
        <v>RHS-00222</v>
      </c>
      <c r="DB16" t="str">
        <v>3.0.0</v>
      </c>
      <c r="DC16" t="str">
        <v>2021-01-19T12:57:14.097Z</v>
      </c>
    </row>
    <row r="17">
      <c r="A17" t="str">
        <v>13</v>
      </c>
      <c r="B17" t="str">
        <v>09:21:29</v>
      </c>
      <c r="C17" t="str">
        <v>2026-03-03</v>
      </c>
      <c r="D17" t="str">
        <v>Manual gsw+F</v>
      </c>
      <c r="E17" t="str">
        <v>LI-COR Default</v>
      </c>
      <c r="F17" t="str">
        <v/>
      </c>
      <c r="G17" t="str">
        <v>013</v>
      </c>
      <c r="H17" t="str">
        <v/>
      </c>
      <c r="I17" t="str">
        <v/>
      </c>
      <c r="J17" t="str">
        <f>1/((1/L17)-(1/K17))</f>
        <v>-0.071941</v>
      </c>
      <c r="K17" t="str">
        <f>BH17+(BI17*AN17)+(BJ17*AN17*POWER(V17,2))+(BK17*AN17*V17)+(BL17*POWER(AN17,2))</f>
        <v>1.755715</v>
      </c>
      <c r="L17" t="str">
        <f>((M17/1000)*(1000-((T17+S17)/2)))/(T17-S17)</f>
        <v>-0.075015</v>
      </c>
      <c r="M17" t="str">
        <f>(AN17*(S17-R17))/(100*U17*(1000-S17))*1000</f>
        <v>-1.006536</v>
      </c>
      <c r="N17" t="str">
        <v>1.079322</v>
      </c>
      <c r="O17" t="str">
        <v>1.141595</v>
      </c>
      <c r="P17" t="str">
        <f>0.61365*EXP((17.502*AL17)/(240.97+AL17))</f>
        <v>2.424501</v>
      </c>
      <c r="Q17" t="str">
        <f>P17-N17</f>
        <v>1.345179</v>
      </c>
      <c r="R17" t="str">
        <v>11.191533</v>
      </c>
      <c r="S17" t="str">
        <v>10.581039</v>
      </c>
      <c r="T17" t="str">
        <f>(P17/AM17)*1000</f>
        <v>23.768393</v>
      </c>
      <c r="U17" t="str">
        <f>V17*BG17</f>
        <v>0.441786</v>
      </c>
      <c r="V17" t="str">
        <v>7.500000</v>
      </c>
      <c r="W17" t="str">
        <v>PSF-00232_20260303092129_db6</v>
      </c>
      <c r="X17" t="str">
        <v>0.000000</v>
      </c>
      <c r="Y17" t="str">
        <v>0.000000</v>
      </c>
      <c r="Z17" t="str">
        <v>0.000000</v>
      </c>
      <c r="AA17" t="str">
        <v>88.184952</v>
      </c>
      <c r="AB17" t="str">
        <v>100.832901</v>
      </c>
      <c r="AC17" t="str">
        <v>0.125435</v>
      </c>
      <c r="AD17" t="str">
        <v>0.5</v>
      </c>
      <c r="AE17" t="str">
        <v>0.80</v>
      </c>
      <c r="AF17" t="str">
        <f>AC17*AD17*AE17*AQ17</f>
        <v>74.750351</v>
      </c>
      <c r="AG17" t="str">
        <v>1.000000</v>
      </c>
      <c r="AH17" t="str">
        <v>52.82</v>
      </c>
      <c r="AI17" t="str">
        <v>55.87</v>
      </c>
      <c r="AJ17" t="str">
        <v>17.78</v>
      </c>
      <c r="AK17" t="str">
        <v>20.53</v>
      </c>
      <c r="AL17" t="str">
        <f>(AK17-AJ17)*(AJ17*0+0)+AK17</f>
        <v>20.53</v>
      </c>
      <c r="AM17" t="str">
        <v>102.01</v>
      </c>
      <c r="AN17" t="str">
        <v>72.1</v>
      </c>
      <c r="AO17" t="str">
        <v>-11.3</v>
      </c>
      <c r="AP17" t="str">
        <v>115.7</v>
      </c>
      <c r="AQ17" t="str">
        <v>1490</v>
      </c>
      <c r="AR17" t="str">
        <v>3.928</v>
      </c>
      <c r="AS17" t="str">
        <v>09:13:33</v>
      </c>
      <c r="AT17" t="str">
        <v>2026-03-03</v>
      </c>
      <c r="AU17" t="str">
        <v>-0.18</v>
      </c>
      <c r="AV17" t="str">
        <v>1</v>
      </c>
      <c r="AW17" t="str">
        <v>0.000</v>
      </c>
      <c r="AX17" t="str">
        <v>0.000</v>
      </c>
      <c r="AY17" t="str">
        <v>0.001</v>
      </c>
      <c r="AZ17" t="str">
        <v>-0.068</v>
      </c>
      <c r="BA17" t="str">
        <v>-0.077</v>
      </c>
      <c r="BB17" t="str">
        <v>-0.041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-9999.000000</v>
      </c>
      <c r="BS17" t="str">
        <v>-9999.000000</v>
      </c>
      <c r="BT17" t="str">
        <v>300</v>
      </c>
      <c r="BU17" t="str">
        <v>300</v>
      </c>
      <c r="BV17" t="str">
        <v>300</v>
      </c>
      <c r="BW17" t="str">
        <v>99.305031</v>
      </c>
      <c r="BX17" t="str">
        <v>25</v>
      </c>
      <c r="BY17" t="str">
        <v>-1.042000</v>
      </c>
      <c r="BZ17" t="str">
        <v>99.376205</v>
      </c>
      <c r="CA17" t="str">
        <v>99.339813</v>
      </c>
      <c r="CB17" t="str">
        <v>0.036392</v>
      </c>
      <c r="CC17" t="str">
        <v>2.492949</v>
      </c>
      <c r="CD17" t="str">
        <v>2.497470</v>
      </c>
      <c r="CE17" t="str">
        <v>1.007483</v>
      </c>
      <c r="CF17" t="str">
        <v>0.582186</v>
      </c>
      <c r="CG17" t="str">
        <v>0.364231</v>
      </c>
      <c r="CH17" t="str">
        <v>0.031411</v>
      </c>
      <c r="CI17" t="str">
        <v>0.390357</v>
      </c>
      <c r="CJ17" t="str">
        <v>1.349094</v>
      </c>
      <c r="CK17" t="str">
        <v>88.184952</v>
      </c>
      <c r="CL17" t="str">
        <v>0.000603</v>
      </c>
      <c r="CM17" t="str">
        <v>2.400430</v>
      </c>
      <c r="CN17" t="str">
        <v>-0.000041</v>
      </c>
      <c r="CO17" t="str">
        <v>1.000000</v>
      </c>
      <c r="CP17" t="str">
        <v>2.408421</v>
      </c>
      <c r="CQ17" t="str">
        <v>-0.000039</v>
      </c>
      <c r="CR17" t="str">
        <v>1.000000</v>
      </c>
      <c r="CS17" t="str">
        <v>0.600250</v>
      </c>
      <c r="CT17" t="str">
        <v>0.601702</v>
      </c>
      <c r="CU17" t="str">
        <v>0.107071</v>
      </c>
      <c r="CV17" t="str">
        <v>0.000000</v>
      </c>
      <c r="CW17" t="str">
        <v>PSF-00232_20260303092129_db6</v>
      </c>
      <c r="CX17" t="str">
        <v>PFA-00245</v>
      </c>
      <c r="CY17" t="str">
        <v>PSA-00257</v>
      </c>
      <c r="CZ17" t="str">
        <v>PSF-00232</v>
      </c>
      <c r="DA17" t="str">
        <v>RHS-00222</v>
      </c>
      <c r="DB17" t="str">
        <v>3.0.0</v>
      </c>
      <c r="DC17" t="str">
        <v>2021-01-19T12:57:14.097Z</v>
      </c>
    </row>
    <row r="18">
      <c r="A18" t="str">
        <v>14</v>
      </c>
      <c r="B18" t="str">
        <v>09:29:32</v>
      </c>
      <c r="C18" t="str">
        <v>2026-03-03</v>
      </c>
      <c r="D18" t="str">
        <v>Manual gsw+F</v>
      </c>
      <c r="E18" t="str">
        <v>LI-COR Default</v>
      </c>
      <c r="F18" t="str">
        <v/>
      </c>
      <c r="G18" t="str">
        <v>014</v>
      </c>
      <c r="H18" t="str">
        <v/>
      </c>
      <c r="I18" t="str">
        <v/>
      </c>
      <c r="J18" t="str">
        <f>1/((1/L18)-(1/K18))</f>
        <v>-0.085132</v>
      </c>
      <c r="K18" t="str">
        <f>BH18+(BI18*AN18)+(BJ18*AN18*POWER(V18,2))+(BK18*AN18*V18)+(BL18*POWER(AN18,2))</f>
        <v>1.816817</v>
      </c>
      <c r="L18" t="str">
        <f>((M18/1000)*(1000-((T18+S18)/2)))/(T18-S18)</f>
        <v>-0.089318</v>
      </c>
      <c r="M18" t="str">
        <f>(AN18*(S18-R18))/(100*U18*(1000-S18))*1000</f>
        <v>-1.278014</v>
      </c>
      <c r="N18" t="str">
        <v>1.101574</v>
      </c>
      <c r="O18" t="str">
        <v>1.177288</v>
      </c>
      <c r="P18" t="str">
        <f>0.61365*EXP((17.502*AL18)/(240.97+AL18))</f>
        <v>2.534954</v>
      </c>
      <c r="Q18" t="str">
        <f>P18-N18</f>
        <v>1.433380</v>
      </c>
      <c r="R18" t="str">
        <v>11.542687</v>
      </c>
      <c r="S18" t="str">
        <v>10.800351</v>
      </c>
      <c r="T18" t="str">
        <f>(P18/AM18)*1000</f>
        <v>24.853891</v>
      </c>
      <c r="U18" t="str">
        <f>V18*BG18</f>
        <v>0.441786</v>
      </c>
      <c r="V18" t="str">
        <v>7.500000</v>
      </c>
      <c r="W18" t="str">
        <v>PSF-00232_20260303092932_60d</v>
      </c>
      <c r="X18" t="str">
        <v>0.000000</v>
      </c>
      <c r="Y18" t="str">
        <v>0.000000</v>
      </c>
      <c r="Z18" t="str">
        <v>0.000000</v>
      </c>
      <c r="AA18" t="str">
        <v>90.621826</v>
      </c>
      <c r="AB18" t="str">
        <v>107.832611</v>
      </c>
      <c r="AC18" t="str">
        <v>0.159606</v>
      </c>
      <c r="AD18" t="str">
        <v>0.5</v>
      </c>
      <c r="AE18" t="str">
        <v>0.80</v>
      </c>
      <c r="AF18" t="str">
        <f>AC18*AD18*AE18*AQ18</f>
        <v>97.591904</v>
      </c>
      <c r="AG18" t="str">
        <v>1.000000</v>
      </c>
      <c r="AH18" t="str">
        <v>50.35</v>
      </c>
      <c r="AI18" t="str">
        <v>53.81</v>
      </c>
      <c r="AJ18" t="str">
        <v>18.87</v>
      </c>
      <c r="AK18" t="str">
        <v>21.25</v>
      </c>
      <c r="AL18" t="str">
        <f>(AK18-AJ18)*(AJ18*0+0)+AK18</f>
        <v>21.25</v>
      </c>
      <c r="AM18" t="str">
        <v>101.99</v>
      </c>
      <c r="AN18" t="str">
        <v>75.2</v>
      </c>
      <c r="AO18" t="str">
        <v>-12.2</v>
      </c>
      <c r="AP18" t="str">
        <v>116.3</v>
      </c>
      <c r="AQ18" t="str">
        <v>1529</v>
      </c>
      <c r="AR18" t="str">
        <v>3.915</v>
      </c>
      <c r="AS18" t="str">
        <v>09:28:19</v>
      </c>
      <c r="AT18" t="str">
        <v>2026-03-03</v>
      </c>
      <c r="AU18" t="str">
        <v>-0.22</v>
      </c>
      <c r="AV18" t="str">
        <v>1</v>
      </c>
      <c r="AW18" t="str">
        <v>-0.000</v>
      </c>
      <c r="AX18" t="str">
        <v>0.000</v>
      </c>
      <c r="AY18" t="str">
        <v>-0.002</v>
      </c>
      <c r="AZ18" t="str">
        <v>-0.263</v>
      </c>
      <c r="BA18" t="str">
        <v>-0.520</v>
      </c>
      <c r="BB18" t="str">
        <v>-1.164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-9999.000000</v>
      </c>
      <c r="BS18" t="str">
        <v>-9999.000000</v>
      </c>
      <c r="BT18" t="str">
        <v>300</v>
      </c>
      <c r="BU18" t="str">
        <v>300</v>
      </c>
      <c r="BV18" t="str">
        <v>300</v>
      </c>
      <c r="BW18" t="str">
        <v>105.223061</v>
      </c>
      <c r="BX18" t="str">
        <v>25</v>
      </c>
      <c r="BY18" t="str">
        <v>-1.801961</v>
      </c>
      <c r="BZ18" t="str">
        <v>105.039597</v>
      </c>
      <c r="CA18" t="str">
        <v>105.250565</v>
      </c>
      <c r="CB18" t="str">
        <v>-0.210968</v>
      </c>
      <c r="CC18" t="str">
        <v>2.489742</v>
      </c>
      <c r="CD18" t="str">
        <v>2.493684</v>
      </c>
      <c r="CE18" t="str">
        <v>1.028221</v>
      </c>
      <c r="CF18" t="str">
        <v>0.580581</v>
      </c>
      <c r="CG18" t="str">
        <v>0.348639</v>
      </c>
      <c r="CH18" t="str">
        <v>0.027391</v>
      </c>
      <c r="CI18" t="str">
        <v>0.405231</v>
      </c>
      <c r="CJ18" t="str">
        <v>1.381447</v>
      </c>
      <c r="CK18" t="str">
        <v>90.621826</v>
      </c>
      <c r="CL18" t="str">
        <v>0.000605</v>
      </c>
      <c r="CM18" t="str">
        <v>2.400430</v>
      </c>
      <c r="CN18" t="str">
        <v>-0.000041</v>
      </c>
      <c r="CO18" t="str">
        <v>1.000000</v>
      </c>
      <c r="CP18" t="str">
        <v>2.408421</v>
      </c>
      <c r="CQ18" t="str">
        <v>-0.000039</v>
      </c>
      <c r="CR18" t="str">
        <v>1.000000</v>
      </c>
      <c r="CS18" t="str">
        <v>0.600250</v>
      </c>
      <c r="CT18" t="str">
        <v>0.601702</v>
      </c>
      <c r="CU18" t="str">
        <v>0.107071</v>
      </c>
      <c r="CV18" t="str">
        <v>0.000000</v>
      </c>
      <c r="CW18" t="str">
        <v>PSF-00232_20260303092932_60d</v>
      </c>
      <c r="CX18" t="str">
        <v>PFA-00245</v>
      </c>
      <c r="CY18" t="str">
        <v>PSA-00257</v>
      </c>
      <c r="CZ18" t="str">
        <v>PSF-00232</v>
      </c>
      <c r="DA18" t="str">
        <v>RHS-00222</v>
      </c>
      <c r="DB18" t="str">
        <v>3.0.0</v>
      </c>
      <c r="DC18" t="str">
        <v>2021-01-19T12:57:14.097Z</v>
      </c>
    </row>
    <row r="19">
      <c r="A19" t="str">
        <v>15</v>
      </c>
      <c r="B19" t="str">
        <v>09:39:17</v>
      </c>
      <c r="C19" t="str">
        <v>2026-03-03</v>
      </c>
      <c r="D19" t="str">
        <v>Manual gsw+F</v>
      </c>
      <c r="E19" t="str">
        <v>LI-COR Default</v>
      </c>
      <c r="F19" t="str">
        <v/>
      </c>
      <c r="G19" t="str">
        <v>015</v>
      </c>
      <c r="H19" t="str">
        <v/>
      </c>
      <c r="I19" t="str">
        <v/>
      </c>
      <c r="J19" t="str">
        <f>1/((1/L19)-(1/K19))</f>
        <v>-0.076066</v>
      </c>
      <c r="K19" t="str">
        <f>BH19+(BI19*AN19)+(BJ19*AN19*POWER(V19,2))+(BK19*AN19*V19)+(BL19*POWER(AN19,2))</f>
        <v>1.916072</v>
      </c>
      <c r="L19" t="str">
        <f>((M19/1000)*(1000-((T19+S19)/2)))/(T19-S19)</f>
        <v>-0.079211</v>
      </c>
      <c r="M19" t="str">
        <f>(AN19*(S19-R19))/(100*U19*(1000-S19))*1000</f>
        <v>-1.339389</v>
      </c>
      <c r="N19" t="str">
        <v>1.131414</v>
      </c>
      <c r="O19" t="str">
        <v>1.205517</v>
      </c>
      <c r="P19" t="str">
        <f>0.61365*EXP((17.502*AL19)/(240.97+AL19))</f>
        <v>2.822669</v>
      </c>
      <c r="Q19" t="str">
        <f>P19-N19</f>
        <v>1.691255</v>
      </c>
      <c r="R19" t="str">
        <v>11.819110</v>
      </c>
      <c r="S19" t="str">
        <v>11.092588</v>
      </c>
      <c r="T19" t="str">
        <f>(P19/AM19)*1000</f>
        <v>27.673971</v>
      </c>
      <c r="U19" t="str">
        <f>V19*BG19</f>
        <v>0.441786</v>
      </c>
      <c r="V19" t="str">
        <v>7.500000</v>
      </c>
      <c r="W19" t="str">
        <v>PSF-00232_20260303093917_cc9</v>
      </c>
      <c r="X19" t="str">
        <v>0.000000</v>
      </c>
      <c r="Y19" t="str">
        <v>0.000000</v>
      </c>
      <c r="Z19" t="str">
        <v>0.000000</v>
      </c>
      <c r="AA19" t="str">
        <v>87.435722</v>
      </c>
      <c r="AB19" t="str">
        <v>104.398247</v>
      </c>
      <c r="AC19" t="str">
        <v>0.162479</v>
      </c>
      <c r="AD19" t="str">
        <v>0.5</v>
      </c>
      <c r="AE19" t="str">
        <v>0.80</v>
      </c>
      <c r="AF19" t="str">
        <f>AC19*AD19*AE19*AQ19</f>
        <v>106.621071</v>
      </c>
      <c r="AG19" t="str">
        <v>1.000000</v>
      </c>
      <c r="AH19" t="str">
        <v>48.40</v>
      </c>
      <c r="AI19" t="str">
        <v>51.57</v>
      </c>
      <c r="AJ19" t="str">
        <v>19.94</v>
      </c>
      <c r="AK19" t="str">
        <v>23.02</v>
      </c>
      <c r="AL19" t="str">
        <f>(AK19-AJ19)*(AJ19*0+0)+AK19</f>
        <v>23.02</v>
      </c>
      <c r="AM19" t="str">
        <v>102.00</v>
      </c>
      <c r="AN19" t="str">
        <v>80.5</v>
      </c>
      <c r="AO19" t="str">
        <v>-11.9</v>
      </c>
      <c r="AP19" t="str">
        <v>114.8</v>
      </c>
      <c r="AQ19" t="str">
        <v>1641</v>
      </c>
      <c r="AR19" t="str">
        <v>3.908</v>
      </c>
      <c r="AS19" t="str">
        <v>09:28:19</v>
      </c>
      <c r="AT19" t="str">
        <v>2026-03-03</v>
      </c>
      <c r="AU19" t="str">
        <v>-0.22</v>
      </c>
      <c r="AV19" t="str">
        <v>1</v>
      </c>
      <c r="AW19" t="str">
        <v>0.002</v>
      </c>
      <c r="AX19" t="str">
        <v>0.003</v>
      </c>
      <c r="AY19" t="str">
        <v>0.004</v>
      </c>
      <c r="AZ19" t="str">
        <v>0.033</v>
      </c>
      <c r="BA19" t="str">
        <v>-0.014</v>
      </c>
      <c r="BB19" t="str">
        <v>0.079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-9999.000000</v>
      </c>
      <c r="BS19" t="str">
        <v>-9999.000000</v>
      </c>
      <c r="BT19" t="str">
        <v>300</v>
      </c>
      <c r="BU19" t="str">
        <v>300</v>
      </c>
      <c r="BV19" t="str">
        <v>300</v>
      </c>
      <c r="BW19" t="str">
        <v>101.966858</v>
      </c>
      <c r="BX19" t="str">
        <v>25</v>
      </c>
      <c r="BY19" t="str">
        <v>-1.650513</v>
      </c>
      <c r="BZ19" t="str">
        <v>102.137444</v>
      </c>
      <c r="CA19" t="str">
        <v>102.033211</v>
      </c>
      <c r="CB19" t="str">
        <v>0.104233</v>
      </c>
      <c r="CC19" t="str">
        <v>2.486255</v>
      </c>
      <c r="CD19" t="str">
        <v>2.490579</v>
      </c>
      <c r="CE19" t="str">
        <v>1.063496</v>
      </c>
      <c r="CF19" t="str">
        <v>0.581173</v>
      </c>
      <c r="CG19" t="str">
        <v>0.334009</v>
      </c>
      <c r="CH19" t="str">
        <v>0.035492</v>
      </c>
      <c r="CI19" t="str">
        <v>0.420933</v>
      </c>
      <c r="CJ19" t="str">
        <v>1.474737</v>
      </c>
      <c r="CK19" t="str">
        <v>87.435722</v>
      </c>
      <c r="CL19" t="str">
        <v>0.000621</v>
      </c>
      <c r="CM19" t="str">
        <v>2.400430</v>
      </c>
      <c r="CN19" t="str">
        <v>-0.000041</v>
      </c>
      <c r="CO19" t="str">
        <v>1.000000</v>
      </c>
      <c r="CP19" t="str">
        <v>2.408421</v>
      </c>
      <c r="CQ19" t="str">
        <v>-0.000039</v>
      </c>
      <c r="CR19" t="str">
        <v>1.000000</v>
      </c>
      <c r="CS19" t="str">
        <v>0.600250</v>
      </c>
      <c r="CT19" t="str">
        <v>0.601702</v>
      </c>
      <c r="CU19" t="str">
        <v>0.107071</v>
      </c>
      <c r="CV19" t="str">
        <v>0.000000</v>
      </c>
      <c r="CW19" t="str">
        <v>PSF-00232_20260303093917_cc9</v>
      </c>
      <c r="CX19" t="str">
        <v>PFA-00245</v>
      </c>
      <c r="CY19" t="str">
        <v>PSA-00257</v>
      </c>
      <c r="CZ19" t="str">
        <v>PSF-00232</v>
      </c>
      <c r="DA19" t="str">
        <v>RHS-00222</v>
      </c>
      <c r="DB19" t="str">
        <v>3.0.0</v>
      </c>
      <c r="DC19" t="str">
        <v>2021-01-19T12:57:14.097Z</v>
      </c>
    </row>
    <row r="20">
      <c r="A20" t="str">
        <v>16</v>
      </c>
      <c r="B20" t="str">
        <v>09:43:28</v>
      </c>
      <c r="C20" t="str">
        <v>2026-03-03</v>
      </c>
      <c r="D20" t="str">
        <v>Manual gsw+F</v>
      </c>
      <c r="E20" t="str">
        <v>LI-COR Default</v>
      </c>
      <c r="F20" t="str">
        <v/>
      </c>
      <c r="G20" t="str">
        <v>016</v>
      </c>
      <c r="H20" t="str">
        <v/>
      </c>
      <c r="I20" t="str">
        <v/>
      </c>
      <c r="J20" t="str">
        <f>1/((1/L20)-(1/K20))</f>
        <v>-0.083393</v>
      </c>
      <c r="K20" t="str">
        <f>BH20+(BI20*AN20)+(BJ20*AN20*POWER(V20,2))+(BK20*AN20*V20)+(BL20*POWER(AN20,2))</f>
        <v>1.986176</v>
      </c>
      <c r="L20" t="str">
        <f>((M20/1000)*(1000-((T20+S20)/2)))/(T20-S20)</f>
        <v>-0.087048</v>
      </c>
      <c r="M20" t="str">
        <f>(AN20*(S20-R20))/(100*U20*(1000-S20))*1000</f>
        <v>-1.458941</v>
      </c>
      <c r="N20" t="str">
        <v>1.122358</v>
      </c>
      <c r="O20" t="str">
        <v>1.199383</v>
      </c>
      <c r="P20" t="str">
        <f>0.61365*EXP((17.502*AL20)/(240.97+AL20))</f>
        <v>2.799133</v>
      </c>
      <c r="Q20" t="str">
        <f>P20-N20</f>
        <v>1.676775</v>
      </c>
      <c r="R20" t="str">
        <v>11.757969</v>
      </c>
      <c r="S20" t="str">
        <v>11.002865</v>
      </c>
      <c r="T20" t="str">
        <f>(P20/AM20)*1000</f>
        <v>27.440865</v>
      </c>
      <c r="U20" t="str">
        <f>V20*BG20</f>
        <v>0.441786</v>
      </c>
      <c r="V20" t="str">
        <v>7.500000</v>
      </c>
      <c r="W20" t="str">
        <v>PSF-00232_20260303094328_406</v>
      </c>
      <c r="X20" t="str">
        <v>0.000000</v>
      </c>
      <c r="Y20" t="str">
        <v>0.000000</v>
      </c>
      <c r="Z20" t="str">
        <v>0.000000</v>
      </c>
      <c r="AA20" t="str">
        <v>78.304764</v>
      </c>
      <c r="AB20" t="str">
        <v>106.872368</v>
      </c>
      <c r="AC20" t="str">
        <v>0.267306</v>
      </c>
      <c r="AD20" t="str">
        <v>0.5</v>
      </c>
      <c r="AE20" t="str">
        <v>0.80</v>
      </c>
      <c r="AF20" t="str">
        <f>AC20*AD20*AE20*AQ20</f>
        <v>169.972916</v>
      </c>
      <c r="AG20" t="str">
        <v>1.000000</v>
      </c>
      <c r="AH20" t="str">
        <v>46.90</v>
      </c>
      <c r="AI20" t="str">
        <v>50.12</v>
      </c>
      <c r="AJ20" t="str">
        <v>20.32</v>
      </c>
      <c r="AK20" t="str">
        <v>22.88</v>
      </c>
      <c r="AL20" t="str">
        <f>(AK20-AJ20)*(AJ20*0+0)+AK20</f>
        <v>22.88</v>
      </c>
      <c r="AM20" t="str">
        <v>102.01</v>
      </c>
      <c r="AN20" t="str">
        <v>84.4</v>
      </c>
      <c r="AO20" t="str">
        <v>-10.4</v>
      </c>
      <c r="AP20" t="str">
        <v>112.3</v>
      </c>
      <c r="AQ20" t="str">
        <v>1590</v>
      </c>
      <c r="AR20" t="str">
        <v>3.898</v>
      </c>
      <c r="AS20" t="str">
        <v>09:42:13</v>
      </c>
      <c r="AT20" t="str">
        <v>2026-03-03</v>
      </c>
      <c r="AU20" t="str">
        <v>-0.13</v>
      </c>
      <c r="AV20" t="str">
        <v>1</v>
      </c>
      <c r="AW20" t="str">
        <v>-0.000</v>
      </c>
      <c r="AX20" t="str">
        <v>0.001</v>
      </c>
      <c r="AY20" t="str">
        <v>0.000</v>
      </c>
      <c r="AZ20" t="str">
        <v>-0.009</v>
      </c>
      <c r="BA20" t="str">
        <v>0.040</v>
      </c>
      <c r="BB20" t="str">
        <v>0.392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-9999.000000</v>
      </c>
      <c r="BS20" t="str">
        <v>-9999.000000</v>
      </c>
      <c r="BT20" t="str">
        <v>300</v>
      </c>
      <c r="BU20" t="str">
        <v>300</v>
      </c>
      <c r="BV20" t="str">
        <v>300</v>
      </c>
      <c r="BW20" t="str">
        <v>103.101967</v>
      </c>
      <c r="BX20" t="str">
        <v>25</v>
      </c>
      <c r="BY20" t="str">
        <v>-2.575526</v>
      </c>
      <c r="BZ20" t="str">
        <v>103.133797</v>
      </c>
      <c r="CA20" t="str">
        <v>103.181877</v>
      </c>
      <c r="CB20" t="str">
        <v>-0.048080</v>
      </c>
      <c r="CC20" t="str">
        <v>2.484079</v>
      </c>
      <c r="CD20" t="str">
        <v>2.488167</v>
      </c>
      <c r="CE20" t="str">
        <v>1.089706</v>
      </c>
      <c r="CF20" t="str">
        <v>0.583743</v>
      </c>
      <c r="CG20" t="str">
        <v>0.328970</v>
      </c>
      <c r="CH20" t="str">
        <v>0.029589</v>
      </c>
      <c r="CI20" t="str">
        <v>0.427977</v>
      </c>
      <c r="CJ20" t="str">
        <v>1.432345</v>
      </c>
      <c r="CK20" t="str">
        <v>78.304764</v>
      </c>
      <c r="CL20" t="str">
        <v>0.000611</v>
      </c>
      <c r="CM20" t="str">
        <v>2.400430</v>
      </c>
      <c r="CN20" t="str">
        <v>-0.000041</v>
      </c>
      <c r="CO20" t="str">
        <v>1.000000</v>
      </c>
      <c r="CP20" t="str">
        <v>2.408421</v>
      </c>
      <c r="CQ20" t="str">
        <v>-0.000039</v>
      </c>
      <c r="CR20" t="str">
        <v>1.000000</v>
      </c>
      <c r="CS20" t="str">
        <v>0.600250</v>
      </c>
      <c r="CT20" t="str">
        <v>0.601702</v>
      </c>
      <c r="CU20" t="str">
        <v>0.107071</v>
      </c>
      <c r="CV20" t="str">
        <v>0.000000</v>
      </c>
      <c r="CW20" t="str">
        <v>PSF-00232_20260303094328_406</v>
      </c>
      <c r="CX20" t="str">
        <v>PFA-00245</v>
      </c>
      <c r="CY20" t="str">
        <v>PSA-00257</v>
      </c>
      <c r="CZ20" t="str">
        <v>PSF-00232</v>
      </c>
      <c r="DA20" t="str">
        <v>RHS-00222</v>
      </c>
      <c r="DB20" t="str">
        <v>3.0.0</v>
      </c>
      <c r="DC20" t="str">
        <v>2021-01-19T12:57:14.097Z</v>
      </c>
    </row>
    <row r="21">
      <c r="A21" t="str">
        <v>17</v>
      </c>
      <c r="B21" t="str">
        <v>09:51:05</v>
      </c>
      <c r="C21" t="str">
        <v>2026-03-03</v>
      </c>
      <c r="D21" t="str">
        <v>Manual gsw+F</v>
      </c>
      <c r="E21" t="str">
        <v>LI-COR Default</v>
      </c>
      <c r="F21" t="str">
        <v/>
      </c>
      <c r="G21" t="str">
        <v>017</v>
      </c>
      <c r="H21" t="str">
        <v/>
      </c>
      <c r="I21" t="str">
        <v/>
      </c>
      <c r="J21" t="str">
        <f>1/((1/L21)-(1/K21))</f>
        <v>-0.082585</v>
      </c>
      <c r="K21" t="str">
        <f>BH21+(BI21*AN21)+(BJ21*AN21*POWER(V21,2))+(BK21*AN21*V21)+(BL21*POWER(AN21,2))</f>
        <v>2.088032</v>
      </c>
      <c r="L21" t="str">
        <f>((M21/1000)*(1000-((T21+S21)/2)))/(T21-S21)</f>
        <v>-0.085986</v>
      </c>
      <c r="M21" t="str">
        <f>(AN21*(S21-R21))/(100*U21*(1000-S21))*1000</f>
        <v>-1.647211</v>
      </c>
      <c r="N21" t="str">
        <v>1.130244</v>
      </c>
      <c r="O21" t="str">
        <v>1.211587</v>
      </c>
      <c r="P21" t="str">
        <f>0.61365*EXP((17.502*AL21)/(240.97+AL21))</f>
        <v>3.044705</v>
      </c>
      <c r="Q21" t="str">
        <f>P21-N21</f>
        <v>1.914462</v>
      </c>
      <c r="R21" t="str">
        <v>11.875451</v>
      </c>
      <c r="S21" t="str">
        <v>11.078158</v>
      </c>
      <c r="T21" t="str">
        <f>(P21/AM21)*1000</f>
        <v>29.842886</v>
      </c>
      <c r="U21" t="str">
        <f>V21*BG21</f>
        <v>0.441786</v>
      </c>
      <c r="V21" t="str">
        <v>7.500000</v>
      </c>
      <c r="W21" t="str">
        <v>PSF-00232_20260303095105_cc9</v>
      </c>
      <c r="X21" t="str">
        <v>0.000000</v>
      </c>
      <c r="Y21" t="str">
        <v>0.000000</v>
      </c>
      <c r="Z21" t="str">
        <v>0.000000</v>
      </c>
      <c r="AA21" t="str">
        <v>96.792343</v>
      </c>
      <c r="AB21" t="str">
        <v>113.525124</v>
      </c>
      <c r="AC21" t="str">
        <v>0.147393</v>
      </c>
      <c r="AD21" t="str">
        <v>0.5</v>
      </c>
      <c r="AE21" t="str">
        <v>0.80</v>
      </c>
      <c r="AF21" t="str">
        <f>AC21*AD21*AE21*AQ21</f>
        <v>96.884430</v>
      </c>
      <c r="AG21" t="str">
        <v>1.000000</v>
      </c>
      <c r="AH21" t="str">
        <v>44.55</v>
      </c>
      <c r="AI21" t="str">
        <v>47.76</v>
      </c>
      <c r="AJ21" t="str">
        <v>21.27</v>
      </c>
      <c r="AK21" t="str">
        <v>24.27</v>
      </c>
      <c r="AL21" t="str">
        <f>(AK21-AJ21)*(AJ21*0+0)+AK21</f>
        <v>24.27</v>
      </c>
      <c r="AM21" t="str">
        <v>102.02</v>
      </c>
      <c r="AN21" t="str">
        <v>90.3</v>
      </c>
      <c r="AO21" t="str">
        <v>-11.3</v>
      </c>
      <c r="AP21" t="str">
        <v>112.5</v>
      </c>
      <c r="AQ21" t="str">
        <v>1643</v>
      </c>
      <c r="AR21" t="str">
        <v>3.886</v>
      </c>
      <c r="AS21" t="str">
        <v>09:42:13</v>
      </c>
      <c r="AT21" t="str">
        <v>2026-03-03</v>
      </c>
      <c r="AU21" t="str">
        <v>-0.13</v>
      </c>
      <c r="AV21" t="str">
        <v>1</v>
      </c>
      <c r="AW21" t="str">
        <v>0.001</v>
      </c>
      <c r="AX21" t="str">
        <v>0.000</v>
      </c>
      <c r="AY21" t="str">
        <v>0.001</v>
      </c>
      <c r="AZ21" t="str">
        <v>0.178</v>
      </c>
      <c r="BA21" t="str">
        <v>-0.122</v>
      </c>
      <c r="BB21" t="str">
        <v>-0.085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-9999.000000</v>
      </c>
      <c r="BS21" t="str">
        <v>-9999.000000</v>
      </c>
      <c r="BT21" t="str">
        <v>300</v>
      </c>
      <c r="BU21" t="str">
        <v>300</v>
      </c>
      <c r="BV21" t="str">
        <v>300</v>
      </c>
      <c r="BW21" t="str">
        <v>111.655716</v>
      </c>
      <c r="BX21" t="str">
        <v>25</v>
      </c>
      <c r="BY21" t="str">
        <v>-1.276880</v>
      </c>
      <c r="BZ21" t="str">
        <v>111.801979</v>
      </c>
      <c r="CA21" t="str">
        <v>111.695473</v>
      </c>
      <c r="CB21" t="str">
        <v>0.106506</v>
      </c>
      <c r="CC21" t="str">
        <v>2.480438</v>
      </c>
      <c r="CD21" t="str">
        <v>2.484497</v>
      </c>
      <c r="CE21" t="str">
        <v>1.129922</v>
      </c>
      <c r="CF21" t="str">
        <v>0.582148</v>
      </c>
      <c r="CG21" t="str">
        <v>0.316678</v>
      </c>
      <c r="CH21" t="str">
        <v>0.034889</v>
      </c>
      <c r="CI21" t="str">
        <v>0.440019</v>
      </c>
      <c r="CJ21" t="str">
        <v>1.477045</v>
      </c>
      <c r="CK21" t="str">
        <v>96.792343</v>
      </c>
      <c r="CL21" t="str">
        <v>0.000602</v>
      </c>
      <c r="CM21" t="str">
        <v>2.400430</v>
      </c>
      <c r="CN21" t="str">
        <v>-0.000041</v>
      </c>
      <c r="CO21" t="str">
        <v>1.000000</v>
      </c>
      <c r="CP21" t="str">
        <v>2.408421</v>
      </c>
      <c r="CQ21" t="str">
        <v>-0.000039</v>
      </c>
      <c r="CR21" t="str">
        <v>1.000000</v>
      </c>
      <c r="CS21" t="str">
        <v>0.600250</v>
      </c>
      <c r="CT21" t="str">
        <v>0.601702</v>
      </c>
      <c r="CU21" t="str">
        <v>0.107071</v>
      </c>
      <c r="CV21" t="str">
        <v>0.000000</v>
      </c>
      <c r="CW21" t="str">
        <v>PSF-00232_20260303095105_cc9</v>
      </c>
      <c r="CX21" t="str">
        <v>PFA-00245</v>
      </c>
      <c r="CY21" t="str">
        <v>PSA-00257</v>
      </c>
      <c r="CZ21" t="str">
        <v>PSF-00232</v>
      </c>
      <c r="DA21" t="str">
        <v>RHS-00222</v>
      </c>
      <c r="DB21" t="str">
        <v>3.0.0</v>
      </c>
      <c r="DC21" t="str">
        <v>2021-01-19T12:57:14.097Z</v>
      </c>
    </row>
    <row r="22">
      <c r="A22" t="str">
        <v>18</v>
      </c>
      <c r="B22" t="str">
        <v>09:59:52</v>
      </c>
      <c r="C22" t="str">
        <v>2026-03-03</v>
      </c>
      <c r="D22" t="str">
        <v>Manual gsw+F</v>
      </c>
      <c r="E22" t="str">
        <v>LI-COR Default</v>
      </c>
      <c r="F22" t="str">
        <v/>
      </c>
      <c r="G22" t="str">
        <v>018</v>
      </c>
      <c r="H22" t="str">
        <v/>
      </c>
      <c r="I22" t="str">
        <v/>
      </c>
      <c r="J22" t="str">
        <f>1/((1/L22)-(1/K22))</f>
        <v>-0.097523</v>
      </c>
      <c r="K22" t="str">
        <f>BH22+(BI22*AN22)+(BJ22*AN22*POWER(V22,2))+(BK22*AN22*V22)+(BL22*POWER(AN22,2))</f>
        <v>2.287801</v>
      </c>
      <c r="L22" t="str">
        <f>((M22/1000)*(1000-((T22+S22)/2)))/(T22-S22)</f>
        <v>-0.101866</v>
      </c>
      <c r="M22" t="str">
        <f>(AN22*(S22-R22))/(100*U22*(1000-S22))*1000</f>
        <v>-2.096361</v>
      </c>
      <c r="N22" t="str">
        <v>1.078092</v>
      </c>
      <c r="O22" t="str">
        <v>1.169215</v>
      </c>
      <c r="P22" t="str">
        <f>0.61365*EXP((17.502*AL22)/(240.97+AL22))</f>
        <v>3.134227</v>
      </c>
      <c r="Q22" t="str">
        <f>P22-N22</f>
        <v>2.056136</v>
      </c>
      <c r="R22" t="str">
        <v>11.460950</v>
      </c>
      <c r="S22" t="str">
        <v>10.567739</v>
      </c>
      <c r="T22" t="str">
        <f>(P22/AM22)*1000</f>
        <v>30.722523</v>
      </c>
      <c r="U22" t="str">
        <f>V22*BG22</f>
        <v>0.441786</v>
      </c>
      <c r="V22" t="str">
        <v>7.500000</v>
      </c>
      <c r="W22" t="str">
        <v>PSF-00232_20260303095952_389</v>
      </c>
      <c r="X22" t="str">
        <v>0.000000</v>
      </c>
      <c r="Y22" t="str">
        <v>0.000000</v>
      </c>
      <c r="Z22" t="str">
        <v>0.000000</v>
      </c>
      <c r="AA22" t="str">
        <v>77.353836</v>
      </c>
      <c r="AB22" t="str">
        <v>100.672676</v>
      </c>
      <c r="AC22" t="str">
        <v>0.231630</v>
      </c>
      <c r="AD22" t="str">
        <v>0.5</v>
      </c>
      <c r="AE22" t="str">
        <v>0.80</v>
      </c>
      <c r="AF22" t="str">
        <f>AC22*AD22*AE22*AQ22</f>
        <v>154.833008</v>
      </c>
      <c r="AG22" t="str">
        <v>1.000000</v>
      </c>
      <c r="AH22" t="str">
        <v>40.32</v>
      </c>
      <c r="AI22" t="str">
        <v>43.73</v>
      </c>
      <c r="AJ22" t="str">
        <v>22.12</v>
      </c>
      <c r="AK22" t="str">
        <v>24.76</v>
      </c>
      <c r="AL22" t="str">
        <f>(AK22-AJ22)*(AJ22*0+0)+AK22</f>
        <v>24.76</v>
      </c>
      <c r="AM22" t="str">
        <v>102.02</v>
      </c>
      <c r="AN22" t="str">
        <v>102.6</v>
      </c>
      <c r="AO22" t="str">
        <v>-11.2</v>
      </c>
      <c r="AP22" t="str">
        <v>110.9</v>
      </c>
      <c r="AQ22" t="str">
        <v>1671</v>
      </c>
      <c r="AR22" t="str">
        <v>3.878</v>
      </c>
      <c r="AS22" t="str">
        <v>09:58:31</v>
      </c>
      <c r="AT22" t="str">
        <v>2026-03-03</v>
      </c>
      <c r="AU22" t="str">
        <v>0.15</v>
      </c>
      <c r="AV22" t="str">
        <v>1</v>
      </c>
      <c r="AW22" t="str">
        <v>-0.000</v>
      </c>
      <c r="AX22" t="str">
        <v>-0.000</v>
      </c>
      <c r="AY22" t="str">
        <v>-0.000</v>
      </c>
      <c r="AZ22" t="str">
        <v>-0.059</v>
      </c>
      <c r="BA22" t="str">
        <v>-0.044</v>
      </c>
      <c r="BB22" t="str">
        <v>-0.371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-9999.000000</v>
      </c>
      <c r="BS22" t="str">
        <v>-9999.000000</v>
      </c>
      <c r="BT22" t="str">
        <v>300</v>
      </c>
      <c r="BU22" t="str">
        <v>300</v>
      </c>
      <c r="BV22" t="str">
        <v>300</v>
      </c>
      <c r="BW22" t="str">
        <v>96.749069</v>
      </c>
      <c r="BX22" t="str">
        <v>25</v>
      </c>
      <c r="BY22" t="str">
        <v>-2.673468</v>
      </c>
      <c r="BZ22" t="str">
        <v>96.797707</v>
      </c>
      <c r="CA22" t="str">
        <v>96.841843</v>
      </c>
      <c r="CB22" t="str">
        <v>-0.044136</v>
      </c>
      <c r="CC22" t="str">
        <v>2.474380</v>
      </c>
      <c r="CD22" t="str">
        <v>2.477628</v>
      </c>
      <c r="CE22" t="str">
        <v>1.217506</v>
      </c>
      <c r="CF22" t="str">
        <v>0.582436</v>
      </c>
      <c r="CG22" t="str">
        <v>0.305965</v>
      </c>
      <c r="CH22" t="str">
        <v>0.030650</v>
      </c>
      <c r="CI22" t="str">
        <v>0.451351</v>
      </c>
      <c r="CJ22" t="str">
        <v>1.500236</v>
      </c>
      <c r="CK22" t="str">
        <v>77.353836</v>
      </c>
      <c r="CL22" t="str">
        <v>0.000600</v>
      </c>
      <c r="CM22" t="str">
        <v>2.400430</v>
      </c>
      <c r="CN22" t="str">
        <v>-0.000041</v>
      </c>
      <c r="CO22" t="str">
        <v>1.000000</v>
      </c>
      <c r="CP22" t="str">
        <v>2.408421</v>
      </c>
      <c r="CQ22" t="str">
        <v>-0.000039</v>
      </c>
      <c r="CR22" t="str">
        <v>1.000000</v>
      </c>
      <c r="CS22" t="str">
        <v>0.600250</v>
      </c>
      <c r="CT22" t="str">
        <v>0.601702</v>
      </c>
      <c r="CU22" t="str">
        <v>0.107071</v>
      </c>
      <c r="CV22" t="str">
        <v>0.000000</v>
      </c>
      <c r="CW22" t="str">
        <v>PSF-00232_20260303095952_389</v>
      </c>
      <c r="CX22" t="str">
        <v>PFA-00245</v>
      </c>
      <c r="CY22" t="str">
        <v>PSA-00257</v>
      </c>
      <c r="CZ22" t="str">
        <v>PSF-00232</v>
      </c>
      <c r="DA22" t="str">
        <v>RHS-00222</v>
      </c>
      <c r="DB22" t="str">
        <v>3.0.0</v>
      </c>
      <c r="DC22" t="str">
        <v>2021-01-19T12:57:14.097Z</v>
      </c>
    </row>
    <row r="23">
      <c r="A23" t="str">
        <v>19</v>
      </c>
      <c r="B23" t="str">
        <v>10:05:29</v>
      </c>
      <c r="C23" t="str">
        <v>2026-03-03</v>
      </c>
      <c r="D23" t="str">
        <v>Manual gsw+F</v>
      </c>
      <c r="E23" t="str">
        <v>LI-COR Default</v>
      </c>
      <c r="F23" t="str">
        <v/>
      </c>
      <c r="G23" t="str">
        <v>019</v>
      </c>
      <c r="H23" t="str">
        <v/>
      </c>
      <c r="I23" t="str">
        <v/>
      </c>
      <c r="J23" t="str">
        <f>1/((1/L23)-(1/K23))</f>
        <v>-0.102847</v>
      </c>
      <c r="K23" t="str">
        <f>BH23+(BI23*AN23)+(BJ23*AN23*POWER(V23,2))+(BK23*AN23*V23)+(BL23*POWER(AN23,2))</f>
        <v>2.384675</v>
      </c>
      <c r="L23" t="str">
        <f>((M23/1000)*(1000-((T23+S23)/2)))/(T23-S23)</f>
        <v>-0.107483</v>
      </c>
      <c r="M23" t="str">
        <f>(AN23*(S23-R23))/(100*U23*(1000-S23))*1000</f>
        <v>-2.198359</v>
      </c>
      <c r="N23" t="str">
        <v>1.048498</v>
      </c>
      <c r="O23" t="str">
        <v>1.138412</v>
      </c>
      <c r="P23" t="str">
        <f>0.61365*EXP((17.502*AL23)/(240.97+AL23))</f>
        <v>3.093035</v>
      </c>
      <c r="Q23" t="str">
        <f>P23-N23</f>
        <v>2.044537</v>
      </c>
      <c r="R23" t="str">
        <v>11.157290</v>
      </c>
      <c r="S23" t="str">
        <v>10.276071</v>
      </c>
      <c r="T23" t="str">
        <f>(P23/AM23)*1000</f>
        <v>30.314072</v>
      </c>
      <c r="U23" t="str">
        <f>V23*BG23</f>
        <v>0.441786</v>
      </c>
      <c r="V23" t="str">
        <v>7.500000</v>
      </c>
      <c r="W23" t="str">
        <v>PSF-00232_20260303100529_745</v>
      </c>
      <c r="X23" t="str">
        <v>0.000000</v>
      </c>
      <c r="Y23" t="str">
        <v>0.000000</v>
      </c>
      <c r="Z23" t="str">
        <v>0.000000</v>
      </c>
      <c r="AA23" t="str">
        <v>53.768635</v>
      </c>
      <c r="AB23" t="str">
        <v>84.788071</v>
      </c>
      <c r="AC23" t="str">
        <v>0.365847</v>
      </c>
      <c r="AD23" t="str">
        <v>0.5</v>
      </c>
      <c r="AE23" t="str">
        <v>0.80</v>
      </c>
      <c r="AF23" t="str">
        <f>AC23*AD23*AE23*AQ23</f>
        <v>244.060547</v>
      </c>
      <c r="AG23" t="str">
        <v>1.000000</v>
      </c>
      <c r="AH23" t="str">
        <v>38.66</v>
      </c>
      <c r="AI23" t="str">
        <v>41.98</v>
      </c>
      <c r="AJ23" t="str">
        <v>22.36</v>
      </c>
      <c r="AK23" t="str">
        <v>24.54</v>
      </c>
      <c r="AL23" t="str">
        <f>(AK23-AJ23)*(AJ23*0+0)+AK23</f>
        <v>24.54</v>
      </c>
      <c r="AM23" t="str">
        <v>102.03</v>
      </c>
      <c r="AN23" t="str">
        <v>109.1</v>
      </c>
      <c r="AO23" t="str">
        <v>-11.2</v>
      </c>
      <c r="AP23" t="str">
        <v>110.3</v>
      </c>
      <c r="AQ23" t="str">
        <v>1668</v>
      </c>
      <c r="AR23" t="str">
        <v>3.862</v>
      </c>
      <c r="AS23" t="str">
        <v>09:58:31</v>
      </c>
      <c r="AT23" t="str">
        <v>2026-03-03</v>
      </c>
      <c r="AU23" t="str">
        <v>0.15</v>
      </c>
      <c r="AV23" t="str">
        <v>1</v>
      </c>
      <c r="AW23" t="str">
        <v>-0.000</v>
      </c>
      <c r="AX23" t="str">
        <v>-0.001</v>
      </c>
      <c r="AY23" t="str">
        <v>-0.002</v>
      </c>
      <c r="AZ23" t="str">
        <v>1.310</v>
      </c>
      <c r="BA23" t="str">
        <v>-1.276</v>
      </c>
      <c r="BB23" t="str">
        <v>-5.296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-9999.000000</v>
      </c>
      <c r="BS23" t="str">
        <v>-9999.000000</v>
      </c>
      <c r="BT23" t="str">
        <v>300</v>
      </c>
      <c r="BU23" t="str">
        <v>300</v>
      </c>
      <c r="BV23" t="str">
        <v>300</v>
      </c>
      <c r="BW23" t="str">
        <v>74.278954</v>
      </c>
      <c r="BX23" t="str">
        <v>25</v>
      </c>
      <c r="BY23" t="str">
        <v>-6.801111</v>
      </c>
      <c r="BZ23" t="str">
        <v>73.851944</v>
      </c>
      <c r="CA23" t="str">
        <v>75.042702</v>
      </c>
      <c r="CB23" t="str">
        <v>-1.190758</v>
      </c>
      <c r="CC23" t="str">
        <v>2.471756</v>
      </c>
      <c r="CD23" t="str">
        <v>2.475092</v>
      </c>
      <c r="CE23" t="str">
        <v>1.265058</v>
      </c>
      <c r="CF23" t="str">
        <v>0.582344</v>
      </c>
      <c r="CG23" t="str">
        <v>0.303120</v>
      </c>
      <c r="CH23" t="str">
        <v>0.025373</v>
      </c>
      <c r="CI23" t="str">
        <v>0.458959</v>
      </c>
      <c r="CJ23" t="str">
        <v>1.497449</v>
      </c>
      <c r="CK23" t="str">
        <v>54.223896</v>
      </c>
      <c r="CL23" t="str">
        <v>0.000624</v>
      </c>
      <c r="CM23" t="str">
        <v>2.400430</v>
      </c>
      <c r="CN23" t="str">
        <v>-0.000041</v>
      </c>
      <c r="CO23" t="str">
        <v>1.000000</v>
      </c>
      <c r="CP23" t="str">
        <v>2.408421</v>
      </c>
      <c r="CQ23" t="str">
        <v>-0.000039</v>
      </c>
      <c r="CR23" t="str">
        <v>1.000000</v>
      </c>
      <c r="CS23" t="str">
        <v>0.600250</v>
      </c>
      <c r="CT23" t="str">
        <v>0.601702</v>
      </c>
      <c r="CU23" t="str">
        <v>0.107071</v>
      </c>
      <c r="CV23" t="str">
        <v>0.000000</v>
      </c>
      <c r="CW23" t="str">
        <v>PSF-00232_20260303100529_745</v>
      </c>
      <c r="CX23" t="str">
        <v>PFA-00245</v>
      </c>
      <c r="CY23" t="str">
        <v>PSA-00257</v>
      </c>
      <c r="CZ23" t="str">
        <v>PSF-00232</v>
      </c>
      <c r="DA23" t="str">
        <v>RHS-00222</v>
      </c>
      <c r="DB23" t="str">
        <v>3.0.0</v>
      </c>
      <c r="DC23" t="str">
        <v>2021-01-19T12:57:14.097Z</v>
      </c>
    </row>
    <row r="24">
      <c r="A24" t="str">
        <v>20</v>
      </c>
      <c r="B24" t="str">
        <v>10:16:32</v>
      </c>
      <c r="C24" t="str">
        <v>2026-03-03</v>
      </c>
      <c r="D24" t="str">
        <v>Manual gsw+F</v>
      </c>
      <c r="E24" t="str">
        <v>LI-COR Default</v>
      </c>
      <c r="F24" t="str">
        <v/>
      </c>
      <c r="G24" t="str">
        <v>020</v>
      </c>
      <c r="H24" t="str">
        <v/>
      </c>
      <c r="I24" t="str">
        <v/>
      </c>
      <c r="J24" t="str">
        <f>1/((1/L24)-(1/K24))</f>
        <v>-0.075913</v>
      </c>
      <c r="K24" t="str">
        <f>BH24+(BI24*AN24)+(BJ24*AN24*POWER(V24,2))+(BK24*AN24*V24)+(BL24*POWER(AN24,2))</f>
        <v>2.497900</v>
      </c>
      <c r="L24" t="str">
        <f>((M24/1000)*(1000-((T24+S24)/2)))/(T24-S24)</f>
        <v>-0.078292</v>
      </c>
      <c r="M24" t="str">
        <f>(AN24*(S24-R24))/(100*U24*(1000-S24))*1000</f>
        <v>-1.537318</v>
      </c>
      <c r="N24" t="str">
        <v>1.048301</v>
      </c>
      <c r="O24" t="str">
        <v>1.106823</v>
      </c>
      <c r="P24" t="str">
        <f>0.61365*EXP((17.502*AL24)/(240.97+AL24))</f>
        <v>3.011982</v>
      </c>
      <c r="Q24" t="str">
        <f>P24-N24</f>
        <v>1.963682</v>
      </c>
      <c r="R24" t="str">
        <v>10.847404</v>
      </c>
      <c r="S24" t="str">
        <v>10.273857</v>
      </c>
      <c r="T24" t="str">
        <f>(P24/AM24)*1000</f>
        <v>29.518892</v>
      </c>
      <c r="U24" t="str">
        <f>V24*BG24</f>
        <v>0.441786</v>
      </c>
      <c r="V24" t="str">
        <v>7.500000</v>
      </c>
      <c r="W24" t="str">
        <v>PSF-00232_20260303101632_2c7</v>
      </c>
      <c r="X24" t="str">
        <v>0.000000</v>
      </c>
      <c r="Y24" t="str">
        <v>0.000000</v>
      </c>
      <c r="Z24" t="str">
        <v>0.000000</v>
      </c>
      <c r="AA24" t="str">
        <v>81.412193</v>
      </c>
      <c r="AB24" t="str">
        <v>95.290230</v>
      </c>
      <c r="AC24" t="str">
        <v>0.145640</v>
      </c>
      <c r="AD24" t="str">
        <v>0.5</v>
      </c>
      <c r="AE24" t="str">
        <v>0.80</v>
      </c>
      <c r="AF24" t="str">
        <f>AC24*AD24*AE24*AQ24</f>
        <v>101.346222</v>
      </c>
      <c r="AG24" t="str">
        <v>1.000000</v>
      </c>
      <c r="AH24" t="str">
        <v>38.68</v>
      </c>
      <c r="AI24" t="str">
        <v>40.84</v>
      </c>
      <c r="AJ24" t="str">
        <v>22.35</v>
      </c>
      <c r="AK24" t="str">
        <v>24.09</v>
      </c>
      <c r="AL24" t="str">
        <f>(AK24-AJ24)*(AJ24*0+0)+AK24</f>
        <v>24.09</v>
      </c>
      <c r="AM24" t="str">
        <v>102.04</v>
      </c>
      <c r="AN24" t="str">
        <v>117.2</v>
      </c>
      <c r="AO24" t="str">
        <v>-10.1</v>
      </c>
      <c r="AP24" t="str">
        <v>108.6</v>
      </c>
      <c r="AQ24" t="str">
        <v>1740</v>
      </c>
      <c r="AR24" t="str">
        <v>3.847</v>
      </c>
      <c r="AS24" t="str">
        <v>10:15:56</v>
      </c>
      <c r="AT24" t="str">
        <v>2026-03-03</v>
      </c>
      <c r="AU24" t="str">
        <v>0.13</v>
      </c>
      <c r="AV24" t="str">
        <v>1</v>
      </c>
      <c r="AW24" t="str">
        <v>0.000</v>
      </c>
      <c r="AX24" t="str">
        <v>0.000</v>
      </c>
      <c r="AY24" t="str">
        <v>-0.001</v>
      </c>
      <c r="AZ24" t="str">
        <v>-0.074</v>
      </c>
      <c r="BA24" t="str">
        <v>-0.011</v>
      </c>
      <c r="BB24" t="str">
        <v>-0.007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-9999.000000</v>
      </c>
      <c r="BS24" t="str">
        <v>-9999.000000</v>
      </c>
      <c r="BT24" t="str">
        <v>300</v>
      </c>
      <c r="BU24" t="str">
        <v>300</v>
      </c>
      <c r="BV24" t="str">
        <v>300</v>
      </c>
      <c r="BW24" t="str">
        <v>93.440292</v>
      </c>
      <c r="BX24" t="str">
        <v>25</v>
      </c>
      <c r="BY24" t="str">
        <v>-1.288670</v>
      </c>
      <c r="BZ24" t="str">
        <v>93.406319</v>
      </c>
      <c r="CA24" t="str">
        <v>93.443680</v>
      </c>
      <c r="CB24" t="str">
        <v>-0.037361</v>
      </c>
      <c r="CC24" t="str">
        <v>2.470074</v>
      </c>
      <c r="CD24" t="str">
        <v>2.475155</v>
      </c>
      <c r="CE24" t="str">
        <v>1.325957</v>
      </c>
      <c r="CF24" t="str">
        <v>0.584195</v>
      </c>
      <c r="CG24" t="str">
        <v>0.303229</v>
      </c>
      <c r="CH24" t="str">
        <v>0.020330</v>
      </c>
      <c r="CI24" t="str">
        <v>0.471201</v>
      </c>
      <c r="CJ24" t="str">
        <v>1.557386</v>
      </c>
      <c r="CK24" t="str">
        <v>81.412193</v>
      </c>
      <c r="CL24" t="str">
        <v>0.000619</v>
      </c>
      <c r="CM24" t="str">
        <v>2.400430</v>
      </c>
      <c r="CN24" t="str">
        <v>-0.000041</v>
      </c>
      <c r="CO24" t="str">
        <v>1.000000</v>
      </c>
      <c r="CP24" t="str">
        <v>2.408421</v>
      </c>
      <c r="CQ24" t="str">
        <v>-0.000039</v>
      </c>
      <c r="CR24" t="str">
        <v>1.000000</v>
      </c>
      <c r="CS24" t="str">
        <v>0.600250</v>
      </c>
      <c r="CT24" t="str">
        <v>0.601702</v>
      </c>
      <c r="CU24" t="str">
        <v>0.107071</v>
      </c>
      <c r="CV24" t="str">
        <v>0.000000</v>
      </c>
      <c r="CW24" t="str">
        <v>PSF-00232_20260303101632_2c7</v>
      </c>
      <c r="CX24" t="str">
        <v>PFA-00245</v>
      </c>
      <c r="CY24" t="str">
        <v>PSA-00257</v>
      </c>
      <c r="CZ24" t="str">
        <v>PSF-00232</v>
      </c>
      <c r="DA24" t="str">
        <v>RHS-00222</v>
      </c>
      <c r="DB24" t="str">
        <v>3.0.0</v>
      </c>
      <c r="DC24" t="str">
        <v>2021-01-19T12:57:14.097Z</v>
      </c>
    </row>
    <row r="25">
      <c r="A25" t="str">
        <v>21</v>
      </c>
      <c r="B25" t="str">
        <v>10:27:06</v>
      </c>
      <c r="C25" t="str">
        <v>2026-03-03</v>
      </c>
      <c r="D25" t="str">
        <v>Manual gsw+F</v>
      </c>
      <c r="E25" t="str">
        <v>LI-COR Default</v>
      </c>
      <c r="F25" t="str">
        <v/>
      </c>
      <c r="G25" t="str">
        <v>021</v>
      </c>
      <c r="H25" t="str">
        <v/>
      </c>
      <c r="I25" t="str">
        <v/>
      </c>
      <c r="J25" t="str">
        <f>1/((1/L25)-(1/K25))</f>
        <v>-0.046344</v>
      </c>
      <c r="K25" t="str">
        <f>BH25+(BI25*AN25)+(BJ25*AN25*POWER(V25,2))+(BK25*AN25*V25)+(BL25*POWER(AN25,2))</f>
        <v>2.456261</v>
      </c>
      <c r="L25" t="str">
        <f>((M25/1000)*(1000-((T25+S25)/2)))/(T25-S25)</f>
        <v>-0.047236</v>
      </c>
      <c r="M25" t="str">
        <f>(AN25*(S25-R25))/(100*U25*(1000-S25))*1000</f>
        <v>-0.710574</v>
      </c>
      <c r="N25" t="str">
        <v>1.082632</v>
      </c>
      <c r="O25" t="str">
        <v>1.110400</v>
      </c>
      <c r="P25" t="str">
        <f>0.61365*EXP((17.502*AL25)/(240.97+AL25))</f>
        <v>2.590034</v>
      </c>
      <c r="Q25" t="str">
        <f>P25-N25</f>
        <v>1.507402</v>
      </c>
      <c r="R25" t="str">
        <v>10.881844</v>
      </c>
      <c r="S25" t="str">
        <v>10.609724</v>
      </c>
      <c r="T25" t="str">
        <f>(P25/AM25)*1000</f>
        <v>25.382168</v>
      </c>
      <c r="U25" t="str">
        <f>V25*BG25</f>
        <v>0.441786</v>
      </c>
      <c r="V25" t="str">
        <v>7.500000</v>
      </c>
      <c r="W25" t="str">
        <v>PSF-00232_20260303102706_344</v>
      </c>
      <c r="X25" t="str">
        <v>0.000000</v>
      </c>
      <c r="Y25" t="str">
        <v>0.000000</v>
      </c>
      <c r="Z25" t="str">
        <v>0.000000</v>
      </c>
      <c r="AA25" t="str">
        <v>89.502098</v>
      </c>
      <c r="AB25" t="str">
        <v>336.901398</v>
      </c>
      <c r="AC25" t="str">
        <v>0.734337</v>
      </c>
      <c r="AD25" t="str">
        <v>0.5</v>
      </c>
      <c r="AE25" t="str">
        <v>0.80</v>
      </c>
      <c r="AF25" t="str">
        <f>AC25*AD25*AE25*AQ25</f>
        <v>254.794022</v>
      </c>
      <c r="AG25" t="str">
        <v>1.000000</v>
      </c>
      <c r="AH25" t="str">
        <v>39.70</v>
      </c>
      <c r="AI25" t="str">
        <v>40.72</v>
      </c>
      <c r="AJ25" t="str">
        <v>22.45</v>
      </c>
      <c r="AK25" t="str">
        <v>21.60</v>
      </c>
      <c r="AL25" t="str">
        <f>(AK25-AJ25)*(AJ25*0+0)+AK25</f>
        <v>21.60</v>
      </c>
      <c r="AM25" t="str">
        <v>102.04</v>
      </c>
      <c r="AN25" t="str">
        <v>114.1</v>
      </c>
      <c r="AO25" t="str">
        <v>-13.3</v>
      </c>
      <c r="AP25" t="str">
        <v>111.6</v>
      </c>
      <c r="AQ25" t="str">
        <v>867</v>
      </c>
      <c r="AR25" t="str">
        <v>3.835</v>
      </c>
      <c r="AS25" t="str">
        <v>10:15:56</v>
      </c>
      <c r="AT25" t="str">
        <v>2026-03-03</v>
      </c>
      <c r="AU25" t="str">
        <v>0.13</v>
      </c>
      <c r="AV25" t="str">
        <v>1</v>
      </c>
      <c r="AW25" t="str">
        <v>0.001</v>
      </c>
      <c r="AX25" t="str">
        <v>0.001</v>
      </c>
      <c r="AY25" t="str">
        <v>0.000</v>
      </c>
      <c r="AZ25" t="str">
        <v>1.575</v>
      </c>
      <c r="BA25" t="str">
        <v>1.110</v>
      </c>
      <c r="BB25" t="str">
        <v>-7.777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-9999.000000</v>
      </c>
      <c r="BS25" t="str">
        <v>-9999.000000</v>
      </c>
      <c r="BT25" t="str">
        <v>300</v>
      </c>
      <c r="BU25" t="str">
        <v>300</v>
      </c>
      <c r="BV25" t="str">
        <v>300</v>
      </c>
      <c r="BW25" t="str">
        <v>326.843628</v>
      </c>
      <c r="BX25" t="str">
        <v>25</v>
      </c>
      <c r="BY25" t="str">
        <v>-6.819702</v>
      </c>
      <c r="BZ25" t="str">
        <v>328.311310</v>
      </c>
      <c r="CA25" t="str">
        <v>327.129395</v>
      </c>
      <c r="CB25" t="str">
        <v>1.181915</v>
      </c>
      <c r="CC25" t="str">
        <v>2.469878</v>
      </c>
      <c r="CD25" t="str">
        <v>2.476668</v>
      </c>
      <c r="CE25" t="str">
        <v>1.302819</v>
      </c>
      <c r="CF25" t="str">
        <v>0.578855</v>
      </c>
      <c r="CG25" t="str">
        <v>0.302013</v>
      </c>
      <c r="CH25" t="str">
        <v>-0.009238</v>
      </c>
      <c r="CI25" t="str">
        <v>0.487848</v>
      </c>
      <c r="CJ25" t="str">
        <v>0.830220</v>
      </c>
      <c r="CK25" t="str">
        <v>89.502098</v>
      </c>
      <c r="CL25" t="str">
        <v>0.000614</v>
      </c>
      <c r="CM25" t="str">
        <v>2.400430</v>
      </c>
      <c r="CN25" t="str">
        <v>-0.000041</v>
      </c>
      <c r="CO25" t="str">
        <v>1.000000</v>
      </c>
      <c r="CP25" t="str">
        <v>2.408421</v>
      </c>
      <c r="CQ25" t="str">
        <v>-0.000039</v>
      </c>
      <c r="CR25" t="str">
        <v>1.000000</v>
      </c>
      <c r="CS25" t="str">
        <v>0.600250</v>
      </c>
      <c r="CT25" t="str">
        <v>0.601702</v>
      </c>
      <c r="CU25" t="str">
        <v>0.107071</v>
      </c>
      <c r="CV25" t="str">
        <v>0.000000</v>
      </c>
      <c r="CW25" t="str">
        <v>PSF-00232_20260303102706_344</v>
      </c>
      <c r="CX25" t="str">
        <v>PFA-00245</v>
      </c>
      <c r="CY25" t="str">
        <v>PSA-00257</v>
      </c>
      <c r="CZ25" t="str">
        <v>PSF-00232</v>
      </c>
      <c r="DA25" t="str">
        <v>RHS-00222</v>
      </c>
      <c r="DB25" t="str">
        <v>3.0.0</v>
      </c>
      <c r="DC25" t="str">
        <v>2021-01-19T12:57:14.097Z</v>
      </c>
    </row>
    <row r="26">
      <c r="A26" t="str">
        <v>1</v>
      </c>
      <c r="B26" t="str">
        <v>13:19:07</v>
      </c>
      <c r="C26" t="str">
        <v>2026-03-03</v>
      </c>
      <c r="D26" t="str">
        <v>Manual gsw+F</v>
      </c>
      <c r="E26" t="str">
        <v>LI-COR Default</v>
      </c>
      <c r="F26" t="str">
        <v/>
      </c>
      <c r="G26" t="str">
        <v>001</v>
      </c>
      <c r="H26" t="str">
        <v/>
      </c>
      <c r="I26" t="str">
        <v/>
      </c>
      <c r="J26" t="str">
        <f>1/((1/L26)-(1/K26))</f>
        <v>0.013843</v>
      </c>
      <c r="K26" t="str">
        <f>BH26+(BI26*AN26)+(BJ26*AN26*POWER(V26,2))+(BK26*AN26*V26)+(BL26*POWER(AN26,2))</f>
        <v>2.177489</v>
      </c>
      <c r="L26" t="str">
        <f>((M26/1000)*(1000-((T26+S26)/2)))/(T26-S26)</f>
        <v>0.013755</v>
      </c>
      <c r="M26" t="str">
        <f>(AN26*(S26-R26))/(100*U26*(1000-S26))*1000</f>
        <v>0.258949</v>
      </c>
      <c r="N26" t="str">
        <v>1.183107</v>
      </c>
      <c r="O26" t="str">
        <v>1.171053</v>
      </c>
      <c r="P26" t="str">
        <f>0.61365*EXP((17.502*AL26)/(240.97+AL26))</f>
        <v>3.062272</v>
      </c>
      <c r="Q26" t="str">
        <f>P26-N26</f>
        <v>1.879165</v>
      </c>
      <c r="R26" t="str">
        <v>11.487413</v>
      </c>
      <c r="S26" t="str">
        <v>11.605656</v>
      </c>
      <c r="T26" t="str">
        <f>(P26/AM26)*1000</f>
        <v>30.039278</v>
      </c>
      <c r="U26" t="str">
        <f>V26*BG26</f>
        <v>0.441786</v>
      </c>
      <c r="V26" t="str">
        <v>7.500000</v>
      </c>
      <c r="W26" t="str">
        <v>PSF-00232_20260303131907_1d0</v>
      </c>
      <c r="X26" t="str">
        <v>0.000000</v>
      </c>
      <c r="Y26" t="str">
        <v>0.000000</v>
      </c>
      <c r="Z26" t="str">
        <v>0.000000</v>
      </c>
      <c r="AA26" t="str">
        <v>76.059578</v>
      </c>
      <c r="AB26" t="str">
        <v>111.472328</v>
      </c>
      <c r="AC26" t="str">
        <v>0.317682</v>
      </c>
      <c r="AD26" t="str">
        <v>0.5</v>
      </c>
      <c r="AE26" t="str">
        <v>0.80</v>
      </c>
      <c r="AF26" t="str">
        <f>AC26*AD26*AE26*AQ26</f>
        <v>173.957993</v>
      </c>
      <c r="AG26" t="str">
        <v>1.000000</v>
      </c>
      <c r="AH26" t="str">
        <v>43.33</v>
      </c>
      <c r="AI26" t="str">
        <v>42.88</v>
      </c>
      <c r="AJ26" t="str">
        <v>22.47</v>
      </c>
      <c r="AK26" t="str">
        <v>24.37</v>
      </c>
      <c r="AL26" t="str">
        <f>(AK26-AJ26)*(AJ26*0+0)+AK26</f>
        <v>24.37</v>
      </c>
      <c r="AM26" t="str">
        <v>101.94</v>
      </c>
      <c r="AN26" t="str">
        <v>95.6</v>
      </c>
      <c r="AO26" t="str">
        <v>-12.1</v>
      </c>
      <c r="AP26" t="str">
        <v>112.6</v>
      </c>
      <c r="AQ26" t="str">
        <v>1369</v>
      </c>
      <c r="AR26" t="str">
        <v>3.837</v>
      </c>
      <c r="AS26" t="str">
        <v>13:17:15</v>
      </c>
      <c r="AT26" t="str">
        <v>2026-03-03</v>
      </c>
      <c r="AU26" t="str">
        <v>-0.28</v>
      </c>
      <c r="AV26" t="str">
        <v>1</v>
      </c>
      <c r="AW26" t="str">
        <v>0.001</v>
      </c>
      <c r="AX26" t="str">
        <v>0.003</v>
      </c>
      <c r="AY26" t="str">
        <v>0.011</v>
      </c>
      <c r="AZ26" t="str">
        <v>-0.780</v>
      </c>
      <c r="BA26" t="str">
        <v>2.944</v>
      </c>
      <c r="BB26" t="str">
        <v>-2.479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-9999.000000</v>
      </c>
      <c r="BS26" t="str">
        <v>-9999.000000</v>
      </c>
      <c r="BT26" t="str">
        <v>300</v>
      </c>
      <c r="BU26" t="str">
        <v>300</v>
      </c>
      <c r="BV26" t="str">
        <v>300</v>
      </c>
      <c r="BW26" t="str">
        <v>105.197670</v>
      </c>
      <c r="BX26" t="str">
        <v>25</v>
      </c>
      <c r="BY26" t="str">
        <v>-4.495380</v>
      </c>
      <c r="BZ26" t="str">
        <v>104.093674</v>
      </c>
      <c r="CA26" t="str">
        <v>105.030861</v>
      </c>
      <c r="CB26" t="str">
        <v>-0.937187</v>
      </c>
      <c r="CC26" t="str">
        <v>2.473062</v>
      </c>
      <c r="CD26" t="str">
        <v>2.482649</v>
      </c>
      <c r="CE26" t="str">
        <v>1.167583</v>
      </c>
      <c r="CF26" t="str">
        <v>0.580887</v>
      </c>
      <c r="CG26" t="str">
        <v>0.301742</v>
      </c>
      <c r="CH26" t="str">
        <v>0.022117</v>
      </c>
      <c r="CI26" t="str">
        <v>0.151316</v>
      </c>
      <c r="CJ26" t="str">
        <v>1.248335</v>
      </c>
      <c r="CK26" t="str">
        <v>76.059578</v>
      </c>
      <c r="CL26" t="str">
        <v>0.000634</v>
      </c>
      <c r="CM26" t="str">
        <v>2.400430</v>
      </c>
      <c r="CN26" t="str">
        <v>-0.000041</v>
      </c>
      <c r="CO26" t="str">
        <v>1.000000</v>
      </c>
      <c r="CP26" t="str">
        <v>2.408421</v>
      </c>
      <c r="CQ26" t="str">
        <v>-0.000039</v>
      </c>
      <c r="CR26" t="str">
        <v>1.000000</v>
      </c>
      <c r="CS26" t="str">
        <v>0.600250</v>
      </c>
      <c r="CT26" t="str">
        <v>0.601702</v>
      </c>
      <c r="CU26" t="str">
        <v>0.107071</v>
      </c>
      <c r="CV26" t="str">
        <v>0.000000</v>
      </c>
      <c r="CW26" t="str">
        <v>PSF-00232_20260303131907_1d0</v>
      </c>
      <c r="CX26" t="str">
        <v>PFA-00245</v>
      </c>
      <c r="CY26" t="str">
        <v>PSA-00257</v>
      </c>
      <c r="CZ26" t="str">
        <v>PSF-00232</v>
      </c>
      <c r="DA26" t="str">
        <v>RHS-00222</v>
      </c>
      <c r="DB26" t="str">
        <v>3.0.0</v>
      </c>
      <c r="DC26" t="str">
        <v>2021-01-19T12:57:14.097Z</v>
      </c>
    </row>
    <row r="27">
      <c r="A27" t="str">
        <v>2</v>
      </c>
      <c r="B27" t="str">
        <v>13:21:44</v>
      </c>
      <c r="C27" t="str">
        <v>2026-03-03</v>
      </c>
      <c r="D27" t="str">
        <v>Manual gsw+F</v>
      </c>
      <c r="E27" t="str">
        <v>LI-COR Default</v>
      </c>
      <c r="F27" t="str">
        <v/>
      </c>
      <c r="G27" t="str">
        <v>002</v>
      </c>
      <c r="H27" t="str">
        <v/>
      </c>
      <c r="I27" t="str">
        <v/>
      </c>
      <c r="J27" t="str">
        <f>1/((1/L27)-(1/K27))</f>
        <v>-0.030033</v>
      </c>
      <c r="K27" t="str">
        <f>BH27+(BI27*AN27)+(BJ27*AN27*POWER(V27,2))+(BK27*AN27*V27)+(BL27*POWER(AN27,2))</f>
        <v>2.263806</v>
      </c>
      <c r="L27" t="str">
        <f>((M27/1000)*(1000-((T27+S27)/2)))/(T27-S27)</f>
        <v>-0.030436</v>
      </c>
      <c r="M27" t="str">
        <f>(AN27*(S27-R27))/(100*U27*(1000-S27))*1000</f>
        <v>-0.691350</v>
      </c>
      <c r="N27" t="str">
        <v>1.151194</v>
      </c>
      <c r="O27" t="str">
        <v>1.181657</v>
      </c>
      <c r="P27" t="str">
        <f>0.61365*EXP((17.502*AL27)/(240.97+AL27))</f>
        <v>3.414555</v>
      </c>
      <c r="Q27" t="str">
        <f>P27-N27</f>
        <v>2.263361</v>
      </c>
      <c r="R27" t="str">
        <v>11.593252</v>
      </c>
      <c r="S27" t="str">
        <v>11.294384</v>
      </c>
      <c r="T27" t="str">
        <f>(P27/AM27)*1000</f>
        <v>33.500248</v>
      </c>
      <c r="U27" t="str">
        <f>V27*BG27</f>
        <v>0.441786</v>
      </c>
      <c r="V27" t="str">
        <v>7.500000</v>
      </c>
      <c r="W27" t="str">
        <v>PSF-00232_20260303132144_a77</v>
      </c>
      <c r="X27" t="str">
        <v>0.000000</v>
      </c>
      <c r="Y27" t="str">
        <v>0.000000</v>
      </c>
      <c r="Z27" t="str">
        <v>0.000000</v>
      </c>
      <c r="AA27" t="str">
        <v>69.634079</v>
      </c>
      <c r="AB27" t="str">
        <v>91.021156</v>
      </c>
      <c r="AC27" t="str">
        <v>0.234968</v>
      </c>
      <c r="AD27" t="str">
        <v>0.5</v>
      </c>
      <c r="AE27" t="str">
        <v>0.80</v>
      </c>
      <c r="AF27" t="str">
        <f>AC27*AD27*AE27*AQ27</f>
        <v>167.511017</v>
      </c>
      <c r="AG27" t="str">
        <v>1.000000</v>
      </c>
      <c r="AH27" t="str">
        <v>39.87</v>
      </c>
      <c r="AI27" t="str">
        <v>40.93</v>
      </c>
      <c r="AJ27" t="str">
        <v>23.39</v>
      </c>
      <c r="AK27" t="str">
        <v>26.20</v>
      </c>
      <c r="AL27" t="str">
        <f>(AK27-AJ27)*(AJ27*0+0)+AK27</f>
        <v>26.20</v>
      </c>
      <c r="AM27" t="str">
        <v>101.93</v>
      </c>
      <c r="AN27" t="str">
        <v>101.0</v>
      </c>
      <c r="AO27" t="str">
        <v>-12.6</v>
      </c>
      <c r="AP27" t="str">
        <v>112.4</v>
      </c>
      <c r="AQ27" t="str">
        <v>1782</v>
      </c>
      <c r="AR27" t="str">
        <v>3.829</v>
      </c>
      <c r="AS27" t="str">
        <v>13:17:15</v>
      </c>
      <c r="AT27" t="str">
        <v>2026-03-03</v>
      </c>
      <c r="AU27" t="str">
        <v>-0.28</v>
      </c>
      <c r="AV27" t="str">
        <v>1</v>
      </c>
      <c r="AW27" t="str">
        <v>0.000</v>
      </c>
      <c r="AX27" t="str">
        <v>0.001</v>
      </c>
      <c r="AY27" t="str">
        <v>0.002</v>
      </c>
      <c r="AZ27" t="str">
        <v>0.036</v>
      </c>
      <c r="BA27" t="str">
        <v>0.004</v>
      </c>
      <c r="BB27" t="str">
        <v>-0.147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-9999.000000</v>
      </c>
      <c r="BS27" t="str">
        <v>-9999.000000</v>
      </c>
      <c r="BT27" t="str">
        <v>300</v>
      </c>
      <c r="BU27" t="str">
        <v>300</v>
      </c>
      <c r="BV27" t="str">
        <v>300</v>
      </c>
      <c r="BW27" t="str">
        <v>88.010429</v>
      </c>
      <c r="BX27" t="str">
        <v>25</v>
      </c>
      <c r="BY27" t="str">
        <v>-2.051805</v>
      </c>
      <c r="BZ27" t="str">
        <v>88.179588</v>
      </c>
      <c r="CA27" t="str">
        <v>88.081108</v>
      </c>
      <c r="CB27" t="str">
        <v>0.098480</v>
      </c>
      <c r="CC27" t="str">
        <v>2.469975</v>
      </c>
      <c r="CD27" t="str">
        <v>2.477331</v>
      </c>
      <c r="CE27" t="str">
        <v>1.206289</v>
      </c>
      <c r="CF27" t="str">
        <v>0.580017</v>
      </c>
      <c r="CG27" t="str">
        <v>0.290824</v>
      </c>
      <c r="CH27" t="str">
        <v>0.032895</v>
      </c>
      <c r="CI27" t="str">
        <v>0.170141</v>
      </c>
      <c r="CJ27" t="str">
        <v>1.592899</v>
      </c>
      <c r="CK27" t="str">
        <v>69.634079</v>
      </c>
      <c r="CL27" t="str">
        <v>0.000619</v>
      </c>
      <c r="CM27" t="str">
        <v>2.400430</v>
      </c>
      <c r="CN27" t="str">
        <v>-0.000041</v>
      </c>
      <c r="CO27" t="str">
        <v>1.000000</v>
      </c>
      <c r="CP27" t="str">
        <v>2.408421</v>
      </c>
      <c r="CQ27" t="str">
        <v>-0.000039</v>
      </c>
      <c r="CR27" t="str">
        <v>1.000000</v>
      </c>
      <c r="CS27" t="str">
        <v>0.600250</v>
      </c>
      <c r="CT27" t="str">
        <v>0.601702</v>
      </c>
      <c r="CU27" t="str">
        <v>0.107071</v>
      </c>
      <c r="CV27" t="str">
        <v>0.000000</v>
      </c>
      <c r="CW27" t="str">
        <v>PSF-00232_20260303132144_a77</v>
      </c>
      <c r="CX27" t="str">
        <v>PFA-00245</v>
      </c>
      <c r="CY27" t="str">
        <v>PSA-00257</v>
      </c>
      <c r="CZ27" t="str">
        <v>PSF-00232</v>
      </c>
      <c r="DA27" t="str">
        <v>RHS-00222</v>
      </c>
      <c r="DB27" t="str">
        <v>3.0.0</v>
      </c>
      <c r="DC27" t="str">
        <v>2021-01-19T12:57:14.097Z</v>
      </c>
    </row>
    <row r="28">
      <c r="A28" t="str">
        <v>3</v>
      </c>
      <c r="B28" t="str">
        <v>13:24:49</v>
      </c>
      <c r="C28" t="str">
        <v>2026-03-03</v>
      </c>
      <c r="D28" t="str">
        <v>Manual gsw+F</v>
      </c>
      <c r="E28" t="str">
        <v>LI-COR Default</v>
      </c>
      <c r="F28" t="str">
        <v/>
      </c>
      <c r="G28" t="str">
        <v>003</v>
      </c>
      <c r="H28" t="str">
        <v/>
      </c>
      <c r="I28" t="str">
        <v/>
      </c>
      <c r="J28" t="str">
        <f>1/((1/L28)-(1/K28))</f>
        <v>-0.058229</v>
      </c>
      <c r="K28" t="str">
        <f>BH28+(BI28*AN28)+(BJ28*AN28*POWER(V28,2))+(BK28*AN28*V28)+(BL28*POWER(AN28,2))</f>
        <v>2.095819</v>
      </c>
      <c r="L28" t="str">
        <f>((M28/1000)*(1000-((T28+S28)/2)))/(T28-S28)</f>
        <v>-0.059893</v>
      </c>
      <c r="M28" t="str">
        <f>(AN28*(S28-R28))/(100*U28*(1000-S28))*1000</f>
        <v>-1.582474</v>
      </c>
      <c r="N28" t="str">
        <v>1.204354</v>
      </c>
      <c r="O28" t="str">
        <v>1.281987</v>
      </c>
      <c r="P28" t="str">
        <f>0.61365*EXP((17.502*AL28)/(240.97+AL28))</f>
        <v>3.831334</v>
      </c>
      <c r="Q28" t="str">
        <f>P28-N28</f>
        <v>2.626980</v>
      </c>
      <c r="R28" t="str">
        <v>12.575462</v>
      </c>
      <c r="S28" t="str">
        <v>11.813937</v>
      </c>
      <c r="T28" t="str">
        <f>(P28/AM28)*1000</f>
        <v>37.582920</v>
      </c>
      <c r="U28" t="str">
        <f>V28*BG28</f>
        <v>0.441786</v>
      </c>
      <c r="V28" t="str">
        <v>7.500000</v>
      </c>
      <c r="W28" t="str">
        <v>PSF-00232_20260303132449_596</v>
      </c>
      <c r="X28" t="str">
        <v>0.000000</v>
      </c>
      <c r="Y28" t="str">
        <v>0.000000</v>
      </c>
      <c r="Z28" t="str">
        <v>0.000000</v>
      </c>
      <c r="AA28" t="str">
        <v>73.806526</v>
      </c>
      <c r="AB28" t="str">
        <v>88.740128</v>
      </c>
      <c r="AC28" t="str">
        <v>0.168285</v>
      </c>
      <c r="AD28" t="str">
        <v>0.5</v>
      </c>
      <c r="AE28" t="str">
        <v>0.80</v>
      </c>
      <c r="AF28" t="str">
        <f>AC28*AD28*AE28*AQ28</f>
        <v>104.276718</v>
      </c>
      <c r="AG28" t="str">
        <v>1.000000</v>
      </c>
      <c r="AH28" t="str">
        <v>37.88</v>
      </c>
      <c r="AI28" t="str">
        <v>40.33</v>
      </c>
      <c r="AJ28" t="str">
        <v>25.00</v>
      </c>
      <c r="AK28" t="str">
        <v>28.16</v>
      </c>
      <c r="AL28" t="str">
        <f>(AK28-AJ28)*(AJ28*0+0)+AK28</f>
        <v>28.16</v>
      </c>
      <c r="AM28" t="str">
        <v>101.94</v>
      </c>
      <c r="AN28" t="str">
        <v>90.7</v>
      </c>
      <c r="AO28" t="str">
        <v>-12.1</v>
      </c>
      <c r="AP28" t="str">
        <v>113.3</v>
      </c>
      <c r="AQ28" t="str">
        <v>1549</v>
      </c>
      <c r="AR28" t="str">
        <v>3.823</v>
      </c>
      <c r="AS28" t="str">
        <v>13:17:15</v>
      </c>
      <c r="AT28" t="str">
        <v>2026-03-03</v>
      </c>
      <c r="AU28" t="str">
        <v>-0.28</v>
      </c>
      <c r="AV28" t="str">
        <v>1</v>
      </c>
      <c r="AW28" t="str">
        <v>0.001</v>
      </c>
      <c r="AX28" t="str">
        <v>0.004</v>
      </c>
      <c r="AY28" t="str">
        <v>0.010</v>
      </c>
      <c r="AZ28" t="str">
        <v>-0.249</v>
      </c>
      <c r="BA28" t="str">
        <v>-0.285</v>
      </c>
      <c r="BB28" t="str">
        <v>-0.753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-9999.000000</v>
      </c>
      <c r="BS28" t="str">
        <v>-9999.000000</v>
      </c>
      <c r="BT28" t="str">
        <v>300</v>
      </c>
      <c r="BU28" t="str">
        <v>300</v>
      </c>
      <c r="BV28" t="str">
        <v>300</v>
      </c>
      <c r="BW28" t="str">
        <v>86.277725</v>
      </c>
      <c r="BX28" t="str">
        <v>25</v>
      </c>
      <c r="BY28" t="str">
        <v>-1.687695</v>
      </c>
      <c r="BZ28" t="str">
        <v>86.180450</v>
      </c>
      <c r="CA28" t="str">
        <v>86.321815</v>
      </c>
      <c r="CB28" t="str">
        <v>-0.141365</v>
      </c>
      <c r="CC28" t="str">
        <v>2.468736</v>
      </c>
      <c r="CD28" t="str">
        <v>2.474026</v>
      </c>
      <c r="CE28" t="str">
        <v>1.133109</v>
      </c>
      <c r="CF28" t="str">
        <v>0.580905</v>
      </c>
      <c r="CG28" t="str">
        <v>0.272761</v>
      </c>
      <c r="CH28" t="str">
        <v>0.037497</v>
      </c>
      <c r="CI28" t="str">
        <v>0.190630</v>
      </c>
      <c r="CJ28" t="str">
        <v>1.398520</v>
      </c>
      <c r="CK28" t="str">
        <v>73.806526</v>
      </c>
      <c r="CL28" t="str">
        <v>0.000595</v>
      </c>
      <c r="CM28" t="str">
        <v>2.400430</v>
      </c>
      <c r="CN28" t="str">
        <v>-0.000041</v>
      </c>
      <c r="CO28" t="str">
        <v>1.000000</v>
      </c>
      <c r="CP28" t="str">
        <v>2.408421</v>
      </c>
      <c r="CQ28" t="str">
        <v>-0.000039</v>
      </c>
      <c r="CR28" t="str">
        <v>1.000000</v>
      </c>
      <c r="CS28" t="str">
        <v>0.600250</v>
      </c>
      <c r="CT28" t="str">
        <v>0.601702</v>
      </c>
      <c r="CU28" t="str">
        <v>0.107071</v>
      </c>
      <c r="CV28" t="str">
        <v>0.000000</v>
      </c>
      <c r="CW28" t="str">
        <v>PSF-00232_20260303132449_596</v>
      </c>
      <c r="CX28" t="str">
        <v>PFA-00245</v>
      </c>
      <c r="CY28" t="str">
        <v>PSA-00257</v>
      </c>
      <c r="CZ28" t="str">
        <v>PSF-00232</v>
      </c>
      <c r="DA28" t="str">
        <v>RHS-00222</v>
      </c>
      <c r="DB28" t="str">
        <v>3.0.0</v>
      </c>
      <c r="DC28" t="str">
        <v>2021-01-19T12:57:14.097Z</v>
      </c>
    </row>
    <row r="29">
      <c r="A29" t="str">
        <v>4</v>
      </c>
      <c r="B29" t="str">
        <v>13:28:32</v>
      </c>
      <c r="C29" t="str">
        <v>2026-03-03</v>
      </c>
      <c r="D29" t="str">
        <v>Manual gsw+F</v>
      </c>
      <c r="E29" t="str">
        <v>LI-COR Default</v>
      </c>
      <c r="F29" t="str">
        <v/>
      </c>
      <c r="G29" t="str">
        <v>004</v>
      </c>
      <c r="H29" t="str">
        <v/>
      </c>
      <c r="I29" t="str">
        <v/>
      </c>
      <c r="J29" t="str">
        <f>1/((1/L29)-(1/K29))</f>
        <v>-0.075844</v>
      </c>
      <c r="K29" t="str">
        <f>BH29+(BI29*AN29)+(BJ29*AN29*POWER(V29,2))+(BK29*AN29*V29)+(BL29*POWER(AN29,2))</f>
        <v>2.230593</v>
      </c>
      <c r="L29" t="str">
        <f>((M29/1000)*(1000-((T29+S29)/2)))/(T29-S29)</f>
        <v>-0.078514</v>
      </c>
      <c r="M29" t="str">
        <f>(AN29*(S29-R29))/(100*U29*(1000-S29))*1000</f>
        <v>-2.026619</v>
      </c>
      <c r="N29" t="str">
        <v>1.193910</v>
      </c>
      <c r="O29" t="str">
        <v>1.285084</v>
      </c>
      <c r="P29" t="str">
        <f>0.61365*EXP((17.502*AL29)/(240.97+AL29))</f>
        <v>3.761117</v>
      </c>
      <c r="Q29" t="str">
        <f>P29-N29</f>
        <v>2.567206</v>
      </c>
      <c r="R29" t="str">
        <v>12.607016</v>
      </c>
      <c r="S29" t="str">
        <v>11.712584</v>
      </c>
      <c r="T29" t="str">
        <f>(P29/AM29)*1000</f>
        <v>36.897572</v>
      </c>
      <c r="U29" t="str">
        <f>V29*BG29</f>
        <v>0.441786</v>
      </c>
      <c r="V29" t="str">
        <v>7.500000</v>
      </c>
      <c r="W29" t="str">
        <v>PSF-00232_20260303132832_eed</v>
      </c>
      <c r="X29" t="str">
        <v>0.000000</v>
      </c>
      <c r="Y29" t="str">
        <v>0.000000</v>
      </c>
      <c r="Z29" t="str">
        <v>0.000000</v>
      </c>
      <c r="AA29" t="str">
        <v>77.062729</v>
      </c>
      <c r="AB29" t="str">
        <v>94.272812</v>
      </c>
      <c r="AC29" t="str">
        <v>0.182556</v>
      </c>
      <c r="AD29" t="str">
        <v>0.5</v>
      </c>
      <c r="AE29" t="str">
        <v>0.80</v>
      </c>
      <c r="AF29" t="str">
        <f>AC29*AD29*AE29*AQ29</f>
        <v>145.686081</v>
      </c>
      <c r="AG29" t="str">
        <v>1.000000</v>
      </c>
      <c r="AH29" t="str">
        <v>35.97</v>
      </c>
      <c r="AI29" t="str">
        <v>38.71</v>
      </c>
      <c r="AJ29" t="str">
        <v>25.72</v>
      </c>
      <c r="AK29" t="str">
        <v>27.85</v>
      </c>
      <c r="AL29" t="str">
        <f>(AK29-AJ29)*(AJ29*0+0)+AK29</f>
        <v>27.85</v>
      </c>
      <c r="AM29" t="str">
        <v>101.93</v>
      </c>
      <c r="AN29" t="str">
        <v>98.9</v>
      </c>
      <c r="AO29" t="str">
        <v>-12.4</v>
      </c>
      <c r="AP29" t="str">
        <v>112.6</v>
      </c>
      <c r="AQ29" t="str">
        <v>1995</v>
      </c>
      <c r="AR29" t="str">
        <v>3.816</v>
      </c>
      <c r="AS29" t="str">
        <v>13:27:31</v>
      </c>
      <c r="AT29" t="str">
        <v>2026-03-03</v>
      </c>
      <c r="AU29" t="str">
        <v>0.11</v>
      </c>
      <c r="AV29" t="str">
        <v>1</v>
      </c>
      <c r="AW29" t="str">
        <v>-0.001</v>
      </c>
      <c r="AX29" t="str">
        <v>-0.000</v>
      </c>
      <c r="AY29" t="str">
        <v>0.000</v>
      </c>
      <c r="AZ29" t="str">
        <v>-0.122</v>
      </c>
      <c r="BA29" t="str">
        <v>-0.063</v>
      </c>
      <c r="BB29" t="str">
        <v>-0.103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-9999.000000</v>
      </c>
      <c r="BS29" t="str">
        <v>-9999.000000</v>
      </c>
      <c r="BT29" t="str">
        <v>300</v>
      </c>
      <c r="BU29" t="str">
        <v>300</v>
      </c>
      <c r="BV29" t="str">
        <v>300</v>
      </c>
      <c r="BW29" t="str">
        <v>92.115280</v>
      </c>
      <c r="BX29" t="str">
        <v>25</v>
      </c>
      <c r="BY29" t="str">
        <v>-1.471859</v>
      </c>
      <c r="BZ29" t="str">
        <v>92.274788</v>
      </c>
      <c r="CA29" t="str">
        <v>92.163773</v>
      </c>
      <c r="CB29" t="str">
        <v>0.111015</v>
      </c>
      <c r="CC29" t="str">
        <v>2.466201</v>
      </c>
      <c r="CD29" t="str">
        <v>2.470404</v>
      </c>
      <c r="CE29" t="str">
        <v>1.191101</v>
      </c>
      <c r="CF29" t="str">
        <v>0.580267</v>
      </c>
      <c r="CG29" t="str">
        <v>0.264967</v>
      </c>
      <c r="CH29" t="str">
        <v>0.025062</v>
      </c>
      <c r="CI29" t="str">
        <v>0.207786</v>
      </c>
      <c r="CJ29" t="str">
        <v>1.770315</v>
      </c>
      <c r="CK29" t="str">
        <v>77.062729</v>
      </c>
      <c r="CL29" t="str">
        <v>0.000600</v>
      </c>
      <c r="CM29" t="str">
        <v>2.400430</v>
      </c>
      <c r="CN29" t="str">
        <v>-0.000041</v>
      </c>
      <c r="CO29" t="str">
        <v>1.000000</v>
      </c>
      <c r="CP29" t="str">
        <v>2.408421</v>
      </c>
      <c r="CQ29" t="str">
        <v>-0.000039</v>
      </c>
      <c r="CR29" t="str">
        <v>1.000000</v>
      </c>
      <c r="CS29" t="str">
        <v>0.600250</v>
      </c>
      <c r="CT29" t="str">
        <v>0.601702</v>
      </c>
      <c r="CU29" t="str">
        <v>0.107071</v>
      </c>
      <c r="CV29" t="str">
        <v>0.000000</v>
      </c>
      <c r="CW29" t="str">
        <v>PSF-00232_20260303132832_eed</v>
      </c>
      <c r="CX29" t="str">
        <v>PFA-00245</v>
      </c>
      <c r="CY29" t="str">
        <v>PSA-00257</v>
      </c>
      <c r="CZ29" t="str">
        <v>PSF-00232</v>
      </c>
      <c r="DA29" t="str">
        <v>RHS-00222</v>
      </c>
      <c r="DB29" t="str">
        <v>3.0.0</v>
      </c>
      <c r="DC29" t="str">
        <v>2021-01-19T12:57:14.097Z</v>
      </c>
    </row>
    <row r="30">
      <c r="A30" t="str">
        <v>5</v>
      </c>
      <c r="B30" t="str">
        <v>13:32:47</v>
      </c>
      <c r="C30" t="str">
        <v>2026-03-03</v>
      </c>
      <c r="D30" t="str">
        <v>Manual gsw+F</v>
      </c>
      <c r="E30" t="str">
        <v>LI-COR Default</v>
      </c>
      <c r="F30" t="str">
        <v/>
      </c>
      <c r="G30" t="str">
        <v>005</v>
      </c>
      <c r="H30" t="str">
        <v/>
      </c>
      <c r="I30" t="str">
        <v/>
      </c>
      <c r="J30" t="str">
        <f>1/((1/L30)-(1/K30))</f>
        <v>-0.088842</v>
      </c>
      <c r="K30" t="str">
        <f>BH30+(BI30*AN30)+(BJ30*AN30*POWER(V30,2))+(BK30*AN30*V30)+(BL30*POWER(AN30,2))</f>
        <v>2.593487</v>
      </c>
      <c r="L30" t="str">
        <f>((M30/1000)*(1000-((T30+S30)/2)))/(T30-S30)</f>
        <v>-0.091993</v>
      </c>
      <c r="M30" t="str">
        <f>(AN30*(S30-R30))/(100*U30*(1000-S30))*1000</f>
        <v>-2.199954</v>
      </c>
      <c r="N30" t="str">
        <v>1.144085</v>
      </c>
      <c r="O30" t="str">
        <v>1.222694</v>
      </c>
      <c r="P30" t="str">
        <f>0.61365*EXP((17.502*AL30)/(240.97+AL30))</f>
        <v>3.525870</v>
      </c>
      <c r="Q30" t="str">
        <f>P30-N30</f>
        <v>2.381786</v>
      </c>
      <c r="R30" t="str">
        <v>11.995285</v>
      </c>
      <c r="S30" t="str">
        <v>11.224081</v>
      </c>
      <c r="T30" t="str">
        <f>(P30/AM30)*1000</f>
        <v>34.590668</v>
      </c>
      <c r="U30" t="str">
        <f>V30*BG30</f>
        <v>0.441786</v>
      </c>
      <c r="V30" t="str">
        <v>7.500000</v>
      </c>
      <c r="W30" t="str">
        <v>PSF-00232_20260303133247_6bc</v>
      </c>
      <c r="X30" t="str">
        <v>0.000000</v>
      </c>
      <c r="Y30" t="str">
        <v>0.000000</v>
      </c>
      <c r="Z30" t="str">
        <v>0.000000</v>
      </c>
      <c r="AA30" t="str">
        <v>67.242981</v>
      </c>
      <c r="AB30" t="str">
        <v>98.543327</v>
      </c>
      <c r="AC30" t="str">
        <v>0.317630</v>
      </c>
      <c r="AD30" t="str">
        <v>0.5</v>
      </c>
      <c r="AE30" t="str">
        <v>0.80</v>
      </c>
      <c r="AF30" t="str">
        <f>AC30*AD30*AE30*AQ30</f>
        <v>168.555603</v>
      </c>
      <c r="AG30" t="str">
        <v>1.000000</v>
      </c>
      <c r="AH30" t="str">
        <v>34.42</v>
      </c>
      <c r="AI30" t="str">
        <v>36.79</v>
      </c>
      <c r="AJ30" t="str">
        <v>25.75</v>
      </c>
      <c r="AK30" t="str">
        <v>26.74</v>
      </c>
      <c r="AL30" t="str">
        <f>(AK30-AJ30)*(AJ30*0+0)+AK30</f>
        <v>26.74</v>
      </c>
      <c r="AM30" t="str">
        <v>101.93</v>
      </c>
      <c r="AN30" t="str">
        <v>124.6</v>
      </c>
      <c r="AO30" t="str">
        <v>-10.0</v>
      </c>
      <c r="AP30" t="str">
        <v>108.1</v>
      </c>
      <c r="AQ30" t="str">
        <v>1327</v>
      </c>
      <c r="AR30" t="str">
        <v>3.808</v>
      </c>
      <c r="AS30" t="str">
        <v>13:27:31</v>
      </c>
      <c r="AT30" t="str">
        <v>2026-03-03</v>
      </c>
      <c r="AU30" t="str">
        <v>0.11</v>
      </c>
      <c r="AV30" t="str">
        <v>1</v>
      </c>
      <c r="AW30" t="str">
        <v>-0.001</v>
      </c>
      <c r="AX30" t="str">
        <v>-0.002</v>
      </c>
      <c r="AY30" t="str">
        <v>0.001</v>
      </c>
      <c r="AZ30" t="str">
        <v>-0.211</v>
      </c>
      <c r="BA30" t="str">
        <v>-0.066</v>
      </c>
      <c r="BB30" t="str">
        <v>-0.073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-9999.000000</v>
      </c>
      <c r="BS30" t="str">
        <v>-9999.000000</v>
      </c>
      <c r="BT30" t="str">
        <v>300</v>
      </c>
      <c r="BU30" t="str">
        <v>300</v>
      </c>
      <c r="BV30" t="str">
        <v>300</v>
      </c>
      <c r="BW30" t="str">
        <v>93.978165</v>
      </c>
      <c r="BX30" t="str">
        <v>25</v>
      </c>
      <c r="BY30" t="str">
        <v>-3.118744</v>
      </c>
      <c r="BZ30" t="str">
        <v>93.873741</v>
      </c>
      <c r="CA30" t="str">
        <v>94.074448</v>
      </c>
      <c r="CB30" t="str">
        <v>-0.200706</v>
      </c>
      <c r="CC30" t="str">
        <v>2.463338</v>
      </c>
      <c r="CD30" t="str">
        <v>2.468064</v>
      </c>
      <c r="CE30" t="str">
        <v>1.382872</v>
      </c>
      <c r="CF30" t="str">
        <v>0.584350</v>
      </c>
      <c r="CG30" t="str">
        <v>0.264742</v>
      </c>
      <c r="CH30" t="str">
        <v>0.011688</v>
      </c>
      <c r="CI30" t="str">
        <v>0.225267</v>
      </c>
      <c r="CJ30" t="str">
        <v>1.213072</v>
      </c>
      <c r="CK30" t="str">
        <v>67.242981</v>
      </c>
      <c r="CL30" t="str">
        <v>0.000614</v>
      </c>
      <c r="CM30" t="str">
        <v>2.400430</v>
      </c>
      <c r="CN30" t="str">
        <v>-0.000041</v>
      </c>
      <c r="CO30" t="str">
        <v>1.000000</v>
      </c>
      <c r="CP30" t="str">
        <v>2.408421</v>
      </c>
      <c r="CQ30" t="str">
        <v>-0.000039</v>
      </c>
      <c r="CR30" t="str">
        <v>1.000000</v>
      </c>
      <c r="CS30" t="str">
        <v>0.600250</v>
      </c>
      <c r="CT30" t="str">
        <v>0.601702</v>
      </c>
      <c r="CU30" t="str">
        <v>0.107071</v>
      </c>
      <c r="CV30" t="str">
        <v>0.000000</v>
      </c>
      <c r="CW30" t="str">
        <v>PSF-00232_20260303133247_6bc</v>
      </c>
      <c r="CX30" t="str">
        <v>PFA-00245</v>
      </c>
      <c r="CY30" t="str">
        <v>PSA-00257</v>
      </c>
      <c r="CZ30" t="str">
        <v>PSF-00232</v>
      </c>
      <c r="DA30" t="str">
        <v>RHS-00222</v>
      </c>
      <c r="DB30" t="str">
        <v>3.0.0</v>
      </c>
      <c r="DC30" t="str">
        <v>2021-01-19T12:57:14.097Z</v>
      </c>
    </row>
    <row r="31">
      <c r="A31" t="str">
        <v>6</v>
      </c>
      <c r="B31" t="str">
        <v>13:36:55</v>
      </c>
      <c r="C31" t="str">
        <v>2026-03-03</v>
      </c>
      <c r="D31" t="str">
        <v>Manual gsw+F</v>
      </c>
      <c r="E31" t="str">
        <v>LI-COR Default</v>
      </c>
      <c r="F31" t="str">
        <v/>
      </c>
      <c r="G31" t="str">
        <v>006</v>
      </c>
      <c r="H31" t="str">
        <v/>
      </c>
      <c r="I31" t="str">
        <v/>
      </c>
      <c r="J31" t="str">
        <f>1/((1/L31)-(1/K31))</f>
        <v>-0.239478</v>
      </c>
      <c r="K31" t="str">
        <f>BH31+(BI31*AN31)+(BJ31*AN31*POWER(V31,2))+(BK31*AN31*V31)+(BL31*POWER(AN31,2))</f>
        <v>2.328121</v>
      </c>
      <c r="L31" t="str">
        <f>((M31/1000)*(1000-((T31+S31)/2)))/(T31-S31)</f>
        <v>-0.266936</v>
      </c>
      <c r="M31" t="str">
        <f>(AN31*(S31-R31))/(100*U31*(1000-S31))*1000</f>
        <v>-2.009390</v>
      </c>
      <c r="N31" t="str">
        <v>1.143073</v>
      </c>
      <c r="O31" t="str">
        <v>1.228081</v>
      </c>
      <c r="P31" t="str">
        <f>0.61365*EXP((17.502*AL31)/(240.97+AL31))</f>
        <v>1.898882</v>
      </c>
      <c r="Q31" t="str">
        <f>P31-N31</f>
        <v>0.755809</v>
      </c>
      <c r="R31" t="str">
        <v>12.048749</v>
      </c>
      <c r="S31" t="str">
        <v>11.214732</v>
      </c>
      <c r="T31" t="str">
        <f>(P31/AM31)*1000</f>
        <v>18.630003</v>
      </c>
      <c r="U31" t="str">
        <f>V31*BG31</f>
        <v>0.441786</v>
      </c>
      <c r="V31" t="str">
        <v>7.500000</v>
      </c>
      <c r="W31" t="str">
        <v>PSF-00232_20260303133655_3d7</v>
      </c>
      <c r="X31" t="str">
        <v>0.000000</v>
      </c>
      <c r="Y31" t="str">
        <v>0.000000</v>
      </c>
      <c r="Z31" t="str">
        <v>0.000000</v>
      </c>
      <c r="AA31" t="str">
        <v>1.608610</v>
      </c>
      <c r="AB31" t="str">
        <v>1.687288</v>
      </c>
      <c r="AC31" t="str">
        <v>0.046630</v>
      </c>
      <c r="AD31" t="str">
        <v>0.5</v>
      </c>
      <c r="AE31" t="str">
        <v>0.80</v>
      </c>
      <c r="AF31" t="str">
        <f>AC31*AD31*AE31*AQ31</f>
        <v>32.255127</v>
      </c>
      <c r="AG31" t="str">
        <v>1.000000</v>
      </c>
      <c r="AH31" t="str">
        <v>34.16</v>
      </c>
      <c r="AI31" t="str">
        <v>36.70</v>
      </c>
      <c r="AJ31" t="str">
        <v>25.86</v>
      </c>
      <c r="AK31" t="str">
        <v>16.63</v>
      </c>
      <c r="AL31" t="str">
        <f>(AK31-AJ31)*(AJ31*0+0)+AK31</f>
        <v>16.63</v>
      </c>
      <c r="AM31" t="str">
        <v>101.93</v>
      </c>
      <c r="AN31" t="str">
        <v>105.2</v>
      </c>
      <c r="AO31" t="str">
        <v>-12.9</v>
      </c>
      <c r="AP31" t="str">
        <v>112.3</v>
      </c>
      <c r="AQ31" t="str">
        <v>1729</v>
      </c>
      <c r="AR31" t="str">
        <v>3.808</v>
      </c>
      <c r="AS31" t="str">
        <v>13:27:31</v>
      </c>
      <c r="AT31" t="str">
        <v>2026-03-03</v>
      </c>
      <c r="AU31" t="str">
        <v>0.11</v>
      </c>
      <c r="AV31" t="str">
        <v>1</v>
      </c>
      <c r="AW31" t="str">
        <v>-9999.000</v>
      </c>
      <c r="AX31" t="str">
        <v>-9999.000</v>
      </c>
      <c r="AY31" t="str">
        <v>-9999.000</v>
      </c>
      <c r="AZ31" t="str">
        <v>-9999.000</v>
      </c>
      <c r="BA31" t="str">
        <v>-9999.000</v>
      </c>
      <c r="BB31" t="str">
        <v>-9999.000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-9999.000000</v>
      </c>
      <c r="BS31" t="str">
        <v>-9999.000000</v>
      </c>
      <c r="BT31" t="str">
        <v>300</v>
      </c>
      <c r="BU31" t="str">
        <v>300</v>
      </c>
      <c r="BV31" t="str">
        <v>300</v>
      </c>
      <c r="BW31" t="str">
        <v>1.687288</v>
      </c>
      <c r="BX31" t="str">
        <v>25</v>
      </c>
      <c r="BY31" t="str">
        <v>-0.016933</v>
      </c>
      <c r="BZ31" t="str">
        <v>1.623273</v>
      </c>
      <c r="CA31" t="str">
        <v>1.663025</v>
      </c>
      <c r="CB31" t="str">
        <v>-0.039752</v>
      </c>
      <c r="CC31" t="str">
        <v>2.463186</v>
      </c>
      <c r="CD31" t="str">
        <v>2.467644</v>
      </c>
      <c r="CE31" t="str">
        <v>1.236840</v>
      </c>
      <c r="CF31" t="str">
        <v>0.579389</v>
      </c>
      <c r="CG31" t="str">
        <v>0.263543</v>
      </c>
      <c r="CH31" t="str">
        <v>-0.102759</v>
      </c>
      <c r="CI31" t="str">
        <v>0.243359</v>
      </c>
      <c r="CJ31" t="str">
        <v>1.548749</v>
      </c>
      <c r="CK31" t="str">
        <v>1.608610</v>
      </c>
      <c r="CL31" t="str">
        <v>0.000625</v>
      </c>
      <c r="CM31" t="str">
        <v>2.400430</v>
      </c>
      <c r="CN31" t="str">
        <v>-0.000041</v>
      </c>
      <c r="CO31" t="str">
        <v>1.000000</v>
      </c>
      <c r="CP31" t="str">
        <v>2.408421</v>
      </c>
      <c r="CQ31" t="str">
        <v>-0.000039</v>
      </c>
      <c r="CR31" t="str">
        <v>1.000000</v>
      </c>
      <c r="CS31" t="str">
        <v>0.600250</v>
      </c>
      <c r="CT31" t="str">
        <v>0.601702</v>
      </c>
      <c r="CU31" t="str">
        <v>0.107071</v>
      </c>
      <c r="CV31" t="str">
        <v>0.000000</v>
      </c>
      <c r="CW31" t="str">
        <v>PSF-00232_20260303133655_3d7</v>
      </c>
      <c r="CX31" t="str">
        <v>PFA-00245</v>
      </c>
      <c r="CY31" t="str">
        <v>PSA-00257</v>
      </c>
      <c r="CZ31" t="str">
        <v>PSF-00232</v>
      </c>
      <c r="DA31" t="str">
        <v>RHS-00222</v>
      </c>
      <c r="DB31" t="str">
        <v>3.0.0</v>
      </c>
      <c r="DC31" t="str">
        <v>2021-01-19T12:57:14.097Z</v>
      </c>
    </row>
    <row r="32">
      <c r="A32" t="str">
        <v>7</v>
      </c>
      <c r="B32" t="str">
        <v>13:38:04</v>
      </c>
      <c r="C32" t="str">
        <v>2026-03-03</v>
      </c>
      <c r="D32" t="str">
        <v>Manual gsw+F</v>
      </c>
      <c r="E32" t="str">
        <v>LI-COR Default</v>
      </c>
      <c r="F32" t="str">
        <v/>
      </c>
      <c r="G32" t="str">
        <v>007</v>
      </c>
      <c r="H32" t="str">
        <v/>
      </c>
      <c r="I32" t="str">
        <v/>
      </c>
      <c r="J32" t="str">
        <f>1/((1/L32)-(1/K32))</f>
        <v>-0.021950</v>
      </c>
      <c r="K32" t="str">
        <f>BH32+(BI32*AN32)+(BJ32*AN32*POWER(V32,2))+(BK32*AN32*V32)+(BL32*POWER(AN32,2))</f>
        <v>2.428571</v>
      </c>
      <c r="L32" t="str">
        <f>((M32/1000)*(1000-((T32+S32)/2)))/(T32-S32)</f>
        <v>-0.022150</v>
      </c>
      <c r="M32" t="str">
        <f>(AN32*(S32-R32))/(100*U32*(1000-S32))*1000</f>
        <v>-0.597747</v>
      </c>
      <c r="N32" t="str">
        <v>1.257528</v>
      </c>
      <c r="O32" t="str">
        <v>1.281230</v>
      </c>
      <c r="P32" t="str">
        <f>0.61365*EXP((17.502*AL32)/(240.97+AL32))</f>
        <v>3.937868</v>
      </c>
      <c r="Q32" t="str">
        <f>P32-N32</f>
        <v>2.680340</v>
      </c>
      <c r="R32" t="str">
        <v>12.570817</v>
      </c>
      <c r="S32" t="str">
        <v>12.338259</v>
      </c>
      <c r="T32" t="str">
        <f>(P32/AM32)*1000</f>
        <v>38.636471</v>
      </c>
      <c r="U32" t="str">
        <f>V32*BG32</f>
        <v>0.441786</v>
      </c>
      <c r="V32" t="str">
        <v>7.500000</v>
      </c>
      <c r="W32" t="str">
        <v>PSF-00232_20260303133804_28b</v>
      </c>
      <c r="X32" t="str">
        <v>0.000000</v>
      </c>
      <c r="Y32" t="str">
        <v>0.000000</v>
      </c>
      <c r="Z32" t="str">
        <v>0.000000</v>
      </c>
      <c r="AA32" t="str">
        <v>72.420357</v>
      </c>
      <c r="AB32" t="str">
        <v>89.575348</v>
      </c>
      <c r="AC32" t="str">
        <v>0.191515</v>
      </c>
      <c r="AD32" t="str">
        <v>0.5</v>
      </c>
      <c r="AE32" t="str">
        <v>0.80</v>
      </c>
      <c r="AF32" t="str">
        <f>AC32*AD32*AE32*AQ32</f>
        <v>151.158234</v>
      </c>
      <c r="AG32" t="str">
        <v>1.000000</v>
      </c>
      <c r="AH32" t="str">
        <v>37.34</v>
      </c>
      <c r="AI32" t="str">
        <v>38.04</v>
      </c>
      <c r="AJ32" t="str">
        <v>25.97</v>
      </c>
      <c r="AK32" t="str">
        <v>28.64</v>
      </c>
      <c r="AL32" t="str">
        <f>(AK32-AJ32)*(AJ32*0+0)+AK32</f>
        <v>28.64</v>
      </c>
      <c r="AM32" t="str">
        <v>101.92</v>
      </c>
      <c r="AN32" t="str">
        <v>112.2</v>
      </c>
      <c r="AO32" t="str">
        <v>-12.1</v>
      </c>
      <c r="AP32" t="str">
        <v>110.8</v>
      </c>
      <c r="AQ32" t="str">
        <v>1973</v>
      </c>
      <c r="AR32" t="str">
        <v>3.803</v>
      </c>
      <c r="AS32" t="str">
        <v>13:27:31</v>
      </c>
      <c r="AT32" t="str">
        <v>2026-03-03</v>
      </c>
      <c r="AU32" t="str">
        <v>0.11</v>
      </c>
      <c r="AV32" t="str">
        <v>1</v>
      </c>
      <c r="AW32" t="str">
        <v>0.000</v>
      </c>
      <c r="AX32" t="str">
        <v>0.001</v>
      </c>
      <c r="AY32" t="str">
        <v>0.000</v>
      </c>
      <c r="AZ32" t="str">
        <v>-0.042</v>
      </c>
      <c r="BA32" t="str">
        <v>0.003</v>
      </c>
      <c r="BB32" t="str">
        <v>0.002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-9999.000000</v>
      </c>
      <c r="BS32" t="str">
        <v>-9999.000000</v>
      </c>
      <c r="BT32" t="str">
        <v>300</v>
      </c>
      <c r="BU32" t="str">
        <v>300</v>
      </c>
      <c r="BV32" t="str">
        <v>300</v>
      </c>
      <c r="BW32" t="str">
        <v>86.879608</v>
      </c>
      <c r="BX32" t="str">
        <v>25</v>
      </c>
      <c r="BY32" t="str">
        <v>-1.848665</v>
      </c>
      <c r="BZ32" t="str">
        <v>86.862442</v>
      </c>
      <c r="CA32" t="str">
        <v>86.926376</v>
      </c>
      <c r="CB32" t="str">
        <v>-0.063934</v>
      </c>
      <c r="CC32" t="str">
        <v>2.465157</v>
      </c>
      <c r="CD32" t="str">
        <v>2.472415</v>
      </c>
      <c r="CE32" t="str">
        <v>1.287924</v>
      </c>
      <c r="CF32" t="str">
        <v>0.580767</v>
      </c>
      <c r="CG32" t="str">
        <v>0.262400</v>
      </c>
      <c r="CH32" t="str">
        <v>0.031659</v>
      </c>
      <c r="CI32" t="str">
        <v>0.248624</v>
      </c>
      <c r="CJ32" t="str">
        <v>1.752064</v>
      </c>
      <c r="CK32" t="str">
        <v>72.420357</v>
      </c>
      <c r="CL32" t="str">
        <v>0.000603</v>
      </c>
      <c r="CM32" t="str">
        <v>2.400430</v>
      </c>
      <c r="CN32" t="str">
        <v>-0.000041</v>
      </c>
      <c r="CO32" t="str">
        <v>1.000000</v>
      </c>
      <c r="CP32" t="str">
        <v>2.408421</v>
      </c>
      <c r="CQ32" t="str">
        <v>-0.000039</v>
      </c>
      <c r="CR32" t="str">
        <v>1.000000</v>
      </c>
      <c r="CS32" t="str">
        <v>0.600250</v>
      </c>
      <c r="CT32" t="str">
        <v>0.601702</v>
      </c>
      <c r="CU32" t="str">
        <v>0.107071</v>
      </c>
      <c r="CV32" t="str">
        <v>0.000000</v>
      </c>
      <c r="CW32" t="str">
        <v>PSF-00232_20260303133804_28b</v>
      </c>
      <c r="CX32" t="str">
        <v>PFA-00245</v>
      </c>
      <c r="CY32" t="str">
        <v>PSA-00257</v>
      </c>
      <c r="CZ32" t="str">
        <v>PSF-00232</v>
      </c>
      <c r="DA32" t="str">
        <v>RHS-00222</v>
      </c>
      <c r="DB32" t="str">
        <v>3.0.0</v>
      </c>
      <c r="DC32" t="str">
        <v>2021-01-19T12:57:14.097Z</v>
      </c>
    </row>
    <row r="33">
      <c r="A33" t="str">
        <v>8</v>
      </c>
      <c r="B33" t="str">
        <v>13:42:05</v>
      </c>
      <c r="C33" t="str">
        <v>2026-03-03</v>
      </c>
      <c r="D33" t="str">
        <v>Manual gsw+F</v>
      </c>
      <c r="E33" t="str">
        <v>LI-COR Default</v>
      </c>
      <c r="F33" t="str">
        <v/>
      </c>
      <c r="G33" t="str">
        <v>008</v>
      </c>
      <c r="H33" t="str">
        <v/>
      </c>
      <c r="I33" t="str">
        <v/>
      </c>
      <c r="J33" t="str">
        <f>1/((1/L33)-(1/K33))</f>
        <v>-0.042535</v>
      </c>
      <c r="K33" t="str">
        <f>BH33+(BI33*AN33)+(BJ33*AN33*POWER(V33,2))+(BK33*AN33*V33)+(BL33*POWER(AN33,2))</f>
        <v>2.265079</v>
      </c>
      <c r="L33" t="str">
        <f>((M33/1000)*(1000-((T33+S33)/2)))/(T33-S33)</f>
        <v>-0.043349</v>
      </c>
      <c r="M33" t="str">
        <f>(AN33*(S33-R33))/(100*U33*(1000-S33))*1000</f>
        <v>-1.248656</v>
      </c>
      <c r="N33" t="str">
        <v>1.149358</v>
      </c>
      <c r="O33" t="str">
        <v>1.204329</v>
      </c>
      <c r="P33" t="str">
        <f>0.61365*EXP((17.502*AL33)/(240.97+AL33))</f>
        <v>4.010736</v>
      </c>
      <c r="Q33" t="str">
        <f>P33-N33</f>
        <v>2.861378</v>
      </c>
      <c r="R33" t="str">
        <v>11.816701</v>
      </c>
      <c r="S33" t="str">
        <v>11.277337</v>
      </c>
      <c r="T33" t="str">
        <f>(P33/AM33)*1000</f>
        <v>39.352776</v>
      </c>
      <c r="U33" t="str">
        <f>V33*BG33</f>
        <v>0.441786</v>
      </c>
      <c r="V33" t="str">
        <v>7.500000</v>
      </c>
      <c r="W33" t="str">
        <v>PSF-00232_20260303134205_8af</v>
      </c>
      <c r="X33" t="str">
        <v>0.000000</v>
      </c>
      <c r="Y33" t="str">
        <v>0.000000</v>
      </c>
      <c r="Z33" t="str">
        <v>0.000000</v>
      </c>
      <c r="AA33" t="str">
        <v>60.612202</v>
      </c>
      <c r="AB33" t="str">
        <v>68.830696</v>
      </c>
      <c r="AC33" t="str">
        <v>0.119402</v>
      </c>
      <c r="AD33" t="str">
        <v>0.5</v>
      </c>
      <c r="AE33" t="str">
        <v>0.80</v>
      </c>
      <c r="AF33" t="str">
        <f>AC33*AD33*AE33*AQ33</f>
        <v>95.834076</v>
      </c>
      <c r="AG33" t="str">
        <v>1.000000</v>
      </c>
      <c r="AH33" t="str">
        <v>34.26</v>
      </c>
      <c r="AI33" t="str">
        <v>35.90</v>
      </c>
      <c r="AJ33" t="str">
        <v>25.90</v>
      </c>
      <c r="AK33" t="str">
        <v>28.95</v>
      </c>
      <c r="AL33" t="str">
        <f>(AK33-AJ33)*(AJ33*0+0)+AK33</f>
        <v>28.95</v>
      </c>
      <c r="AM33" t="str">
        <v>101.92</v>
      </c>
      <c r="AN33" t="str">
        <v>101.1</v>
      </c>
      <c r="AO33" t="str">
        <v>-12.9</v>
      </c>
      <c r="AP33" t="str">
        <v>112.8</v>
      </c>
      <c r="AQ33" t="str">
        <v>2007</v>
      </c>
      <c r="AR33" t="str">
        <v>3.790</v>
      </c>
      <c r="AS33" t="str">
        <v>13:41:05</v>
      </c>
      <c r="AT33" t="str">
        <v>2026-03-03</v>
      </c>
      <c r="AU33" t="str">
        <v>0.21</v>
      </c>
      <c r="AV33" t="str">
        <v>1</v>
      </c>
      <c r="AW33" t="str">
        <v>-0.000</v>
      </c>
      <c r="AX33" t="str">
        <v>-0.000</v>
      </c>
      <c r="AY33" t="str">
        <v>-0.000</v>
      </c>
      <c r="AZ33" t="str">
        <v>0.086</v>
      </c>
      <c r="BA33" t="str">
        <v>-0.076</v>
      </c>
      <c r="BB33" t="str">
        <v>-0.028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-9999.000000</v>
      </c>
      <c r="BS33" t="str">
        <v>-9999.000000</v>
      </c>
      <c r="BT33" t="str">
        <v>300</v>
      </c>
      <c r="BU33" t="str">
        <v>300</v>
      </c>
      <c r="BV33" t="str">
        <v>300</v>
      </c>
      <c r="BW33" t="str">
        <v>67.782997</v>
      </c>
      <c r="BX33" t="str">
        <v>25</v>
      </c>
      <c r="BY33" t="str">
        <v>-0.711897</v>
      </c>
      <c r="BZ33" t="str">
        <v>67.982193</v>
      </c>
      <c r="CA33" t="str">
        <v>67.810616</v>
      </c>
      <c r="CB33" t="str">
        <v>0.171577</v>
      </c>
      <c r="CC33" t="str">
        <v>2.461981</v>
      </c>
      <c r="CD33" t="str">
        <v>2.467638</v>
      </c>
      <c r="CE33" t="str">
        <v>1.206879</v>
      </c>
      <c r="CF33" t="str">
        <v>0.579461</v>
      </c>
      <c r="CG33" t="str">
        <v>0.263094</v>
      </c>
      <c r="CH33" t="str">
        <v>0.036283</v>
      </c>
      <c r="CI33" t="str">
        <v>0.264810</v>
      </c>
      <c r="CJ33" t="str">
        <v>1.779872</v>
      </c>
      <c r="CK33" t="str">
        <v>60.612202</v>
      </c>
      <c r="CL33" t="str">
        <v>0.000604</v>
      </c>
      <c r="CM33" t="str">
        <v>2.400430</v>
      </c>
      <c r="CN33" t="str">
        <v>-0.000041</v>
      </c>
      <c r="CO33" t="str">
        <v>1.000000</v>
      </c>
      <c r="CP33" t="str">
        <v>2.408421</v>
      </c>
      <c r="CQ33" t="str">
        <v>-0.000039</v>
      </c>
      <c r="CR33" t="str">
        <v>1.000000</v>
      </c>
      <c r="CS33" t="str">
        <v>0.600250</v>
      </c>
      <c r="CT33" t="str">
        <v>0.601702</v>
      </c>
      <c r="CU33" t="str">
        <v>0.107071</v>
      </c>
      <c r="CV33" t="str">
        <v>0.000000</v>
      </c>
      <c r="CW33" t="str">
        <v>PSF-00232_20260303134205_8af</v>
      </c>
      <c r="CX33" t="str">
        <v>PFA-00245</v>
      </c>
      <c r="CY33" t="str">
        <v>PSA-00257</v>
      </c>
      <c r="CZ33" t="str">
        <v>PSF-00232</v>
      </c>
      <c r="DA33" t="str">
        <v>RHS-00222</v>
      </c>
      <c r="DB33" t="str">
        <v>3.0.0</v>
      </c>
      <c r="DC33" t="str">
        <v>2021-01-19T12:57:14.097Z</v>
      </c>
    </row>
    <row r="34">
      <c r="A34" t="str">
        <v>9</v>
      </c>
      <c r="B34" t="str">
        <v>13:49:58</v>
      </c>
      <c r="C34" t="str">
        <v>2026-03-03</v>
      </c>
      <c r="D34" t="str">
        <v>Manual gsw+F</v>
      </c>
      <c r="E34" t="str">
        <v>LI-COR Default</v>
      </c>
      <c r="F34" t="str">
        <v/>
      </c>
      <c r="G34" t="str">
        <v>009</v>
      </c>
      <c r="H34" t="str">
        <v/>
      </c>
      <c r="I34" t="str">
        <v/>
      </c>
      <c r="J34" t="str">
        <f>1/((1/L34)-(1/K34))</f>
        <v>-0.021791</v>
      </c>
      <c r="K34" t="str">
        <f>BH34+(BI34*AN34)+(BJ34*AN34*POWER(V34,2))+(BK34*AN34*V34)+(BL34*POWER(AN34,2))</f>
        <v>2.112623</v>
      </c>
      <c r="L34" t="str">
        <f>((M34/1000)*(1000-((T34+S34)/2)))/(T34-S34)</f>
        <v>-0.022018</v>
      </c>
      <c r="M34" t="str">
        <f>(AN34*(S34-R34))/(100*U34*(1000-S34))*1000</f>
        <v>-0.514784</v>
      </c>
      <c r="N34" t="str">
        <v>1.147771</v>
      </c>
      <c r="O34" t="str">
        <v>1.172751</v>
      </c>
      <c r="P34" t="str">
        <f>0.61365*EXP((17.502*AL34)/(240.97+AL34))</f>
        <v>3.475787</v>
      </c>
      <c r="Q34" t="str">
        <f>P34-N34</f>
        <v>2.328016</v>
      </c>
      <c r="R34" t="str">
        <v>11.510621</v>
      </c>
      <c r="S34" t="str">
        <v>11.265443</v>
      </c>
      <c r="T34" t="str">
        <f>(P34/AM34)*1000</f>
        <v>34.115059</v>
      </c>
      <c r="U34" t="str">
        <f>V34*BG34</f>
        <v>0.441786</v>
      </c>
      <c r="V34" t="str">
        <v>7.500000</v>
      </c>
      <c r="W34" t="str">
        <v>PSF-00232_20260303134958_9f2</v>
      </c>
      <c r="X34" t="str">
        <v>0.000000</v>
      </c>
      <c r="Y34" t="str">
        <v>0.000000</v>
      </c>
      <c r="Z34" t="str">
        <v>0.000000</v>
      </c>
      <c r="AA34" t="str">
        <v>77.764038</v>
      </c>
      <c r="AB34" t="str">
        <v>132.143982</v>
      </c>
      <c r="AC34" t="str">
        <v>0.411520</v>
      </c>
      <c r="AD34" t="str">
        <v>0.5</v>
      </c>
      <c r="AE34" t="str">
        <v>0.80</v>
      </c>
      <c r="AF34" t="str">
        <f>AC34*AD34*AE34*AQ34</f>
        <v>281.029602</v>
      </c>
      <c r="AG34" t="str">
        <v>1.000000</v>
      </c>
      <c r="AH34" t="str">
        <v>34.57</v>
      </c>
      <c r="AI34" t="str">
        <v>35.32</v>
      </c>
      <c r="AJ34" t="str">
        <v>25.73</v>
      </c>
      <c r="AK34" t="str">
        <v>26.50</v>
      </c>
      <c r="AL34" t="str">
        <f>(AK34-AJ34)*(AJ34*0+0)+AK34</f>
        <v>26.50</v>
      </c>
      <c r="AM34" t="str">
        <v>101.88</v>
      </c>
      <c r="AN34" t="str">
        <v>91.7</v>
      </c>
      <c r="AO34" t="str">
        <v>-12.4</v>
      </c>
      <c r="AP34" t="str">
        <v>113.6</v>
      </c>
      <c r="AQ34" t="str">
        <v>1707</v>
      </c>
      <c r="AR34" t="str">
        <v>3.783</v>
      </c>
      <c r="AS34" t="str">
        <v>13:41:05</v>
      </c>
      <c r="AT34" t="str">
        <v>2026-03-03</v>
      </c>
      <c r="AU34" t="str">
        <v>0.21</v>
      </c>
      <c r="AV34" t="str">
        <v>1</v>
      </c>
      <c r="AW34" t="str">
        <v>-0.000</v>
      </c>
      <c r="AX34" t="str">
        <v>0.002</v>
      </c>
      <c r="AY34" t="str">
        <v>0.003</v>
      </c>
      <c r="AZ34" t="str">
        <v>-1.754</v>
      </c>
      <c r="BA34" t="str">
        <v>-6.576</v>
      </c>
      <c r="BB34" t="str">
        <v>-22.162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-9999.000000</v>
      </c>
      <c r="BS34" t="str">
        <v>-9999.000000</v>
      </c>
      <c r="BT34" t="str">
        <v>300</v>
      </c>
      <c r="BU34" t="str">
        <v>300</v>
      </c>
      <c r="BV34" t="str">
        <v>300</v>
      </c>
      <c r="BW34" t="str">
        <v>123.367668</v>
      </c>
      <c r="BX34" t="str">
        <v>25</v>
      </c>
      <c r="BY34" t="str">
        <v>-6.161311</v>
      </c>
      <c r="BZ34" t="str">
        <v>122.169617</v>
      </c>
      <c r="CA34" t="str">
        <v>123.315384</v>
      </c>
      <c r="CB34" t="str">
        <v>-1.145767</v>
      </c>
      <c r="CC34" t="str">
        <v>2.461154</v>
      </c>
      <c r="CD34" t="str">
        <v>2.468144</v>
      </c>
      <c r="CE34" t="str">
        <v>1.140044</v>
      </c>
      <c r="CF34" t="str">
        <v>0.580236</v>
      </c>
      <c r="CG34" t="str">
        <v>0.264944</v>
      </c>
      <c r="CH34" t="str">
        <v>0.009047</v>
      </c>
      <c r="CI34" t="str">
        <v>0.293258</v>
      </c>
      <c r="CJ34" t="str">
        <v>1.530367</v>
      </c>
      <c r="CK34" t="str">
        <v>79.020020</v>
      </c>
      <c r="CL34" t="str">
        <v>0.000603</v>
      </c>
      <c r="CM34" t="str">
        <v>2.400430</v>
      </c>
      <c r="CN34" t="str">
        <v>-0.000041</v>
      </c>
      <c r="CO34" t="str">
        <v>1.000000</v>
      </c>
      <c r="CP34" t="str">
        <v>2.408421</v>
      </c>
      <c r="CQ34" t="str">
        <v>-0.000039</v>
      </c>
      <c r="CR34" t="str">
        <v>1.000000</v>
      </c>
      <c r="CS34" t="str">
        <v>0.600250</v>
      </c>
      <c r="CT34" t="str">
        <v>0.601702</v>
      </c>
      <c r="CU34" t="str">
        <v>0.107071</v>
      </c>
      <c r="CV34" t="str">
        <v>0.000000</v>
      </c>
      <c r="CW34" t="str">
        <v>PSF-00232_20260303134958_9f2</v>
      </c>
      <c r="CX34" t="str">
        <v>PFA-00245</v>
      </c>
      <c r="CY34" t="str">
        <v>PSA-00257</v>
      </c>
      <c r="CZ34" t="str">
        <v>PSF-00232</v>
      </c>
      <c r="DA34" t="str">
        <v>RHS-00222</v>
      </c>
      <c r="DB34" t="str">
        <v>3.0.0</v>
      </c>
      <c r="DC34" t="str">
        <v>2021-01-19T12:57:14.097Z</v>
      </c>
    </row>
    <row r="35">
      <c r="A35" t="str">
        <v>10</v>
      </c>
      <c r="B35" t="str">
        <v>13:54:13</v>
      </c>
      <c r="C35" t="str">
        <v>2026-03-03</v>
      </c>
      <c r="D35" t="str">
        <v>Manual gsw+F</v>
      </c>
      <c r="E35" t="str">
        <v>LI-COR Default</v>
      </c>
      <c r="F35" t="str">
        <v/>
      </c>
      <c r="G35" t="str">
        <v>010</v>
      </c>
      <c r="H35" t="str">
        <v/>
      </c>
      <c r="I35" t="str">
        <v/>
      </c>
      <c r="J35" t="str">
        <f>1/((1/L35)-(1/K35))</f>
        <v>0.001508</v>
      </c>
      <c r="K35" t="str">
        <f>BH35+(BI35*AN35)+(BJ35*AN35*POWER(V35,2))+(BK35*AN35*V35)+(BL35*POWER(AN35,2))</f>
        <v>2.503137</v>
      </c>
      <c r="L35" t="str">
        <f>((M35/1000)*(1000-((T35+S35)/2)))/(T35-S35)</f>
        <v>0.001507</v>
      </c>
      <c r="M35" t="str">
        <f>(AN35*(S35-R35))/(100*U35*(1000-S35))*1000</f>
        <v>0.029886</v>
      </c>
      <c r="N35" t="str">
        <v>1.176298</v>
      </c>
      <c r="O35" t="str">
        <v>1.175168</v>
      </c>
      <c r="P35" t="str">
        <f>0.61365*EXP((17.502*AL35)/(240.97+AL35))</f>
        <v>3.154382</v>
      </c>
      <c r="Q35" t="str">
        <f>P35-N35</f>
        <v>1.978083</v>
      </c>
      <c r="R35" t="str">
        <v>11.534284</v>
      </c>
      <c r="S35" t="str">
        <v>11.545382</v>
      </c>
      <c r="T35" t="str">
        <f>(P35/AM35)*1000</f>
        <v>30.960291</v>
      </c>
      <c r="U35" t="str">
        <f>V35*BG35</f>
        <v>0.441786</v>
      </c>
      <c r="V35" t="str">
        <v>7.500000</v>
      </c>
      <c r="W35" t="str">
        <v>PSF-00232_20260303135413_313</v>
      </c>
      <c r="X35" t="str">
        <v>0.000000</v>
      </c>
      <c r="Y35" t="str">
        <v>0.000000</v>
      </c>
      <c r="Z35" t="str">
        <v>0.000000</v>
      </c>
      <c r="AA35" t="str">
        <v>101.088165</v>
      </c>
      <c r="AB35" t="str">
        <v>377.751160</v>
      </c>
      <c r="AC35" t="str">
        <v>0.732395</v>
      </c>
      <c r="AD35" t="str">
        <v>0.5</v>
      </c>
      <c r="AE35" t="str">
        <v>0.80</v>
      </c>
      <c r="AF35" t="str">
        <f>AC35*AD35*AE35*AQ35</f>
        <v>83.392868</v>
      </c>
      <c r="AG35" t="str">
        <v>1.000000</v>
      </c>
      <c r="AH35" t="str">
        <v>36.10</v>
      </c>
      <c r="AI35" t="str">
        <v>36.06</v>
      </c>
      <c r="AJ35" t="str">
        <v>25.41</v>
      </c>
      <c r="AK35" t="str">
        <v>24.87</v>
      </c>
      <c r="AL35" t="str">
        <f>(AK35-AJ35)*(AJ35*0+0)+AK35</f>
        <v>24.87</v>
      </c>
      <c r="AM35" t="str">
        <v>101.88</v>
      </c>
      <c r="AN35" t="str">
        <v>117.6</v>
      </c>
      <c r="AO35" t="str">
        <v>-11.9</v>
      </c>
      <c r="AP35" t="str">
        <v>110.1</v>
      </c>
      <c r="AQ35" t="str">
        <v>285</v>
      </c>
      <c r="AR35" t="str">
        <v>3.773</v>
      </c>
      <c r="AS35" t="str">
        <v>13:53:52</v>
      </c>
      <c r="AT35" t="str">
        <v>2026-03-03</v>
      </c>
      <c r="AU35" t="str">
        <v>0.18</v>
      </c>
      <c r="AV35" t="str">
        <v>1</v>
      </c>
      <c r="AW35" t="str">
        <v>-0.002</v>
      </c>
      <c r="AX35" t="str">
        <v>-0.003</v>
      </c>
      <c r="AY35" t="str">
        <v>-0.008</v>
      </c>
      <c r="AZ35" t="str">
        <v>-3.291</v>
      </c>
      <c r="BA35" t="str">
        <v>-0.583</v>
      </c>
      <c r="BB35" t="str">
        <v>-7.102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-9999.000000</v>
      </c>
      <c r="BS35" t="str">
        <v>-9999.000000</v>
      </c>
      <c r="BT35" t="str">
        <v>300</v>
      </c>
      <c r="BU35" t="str">
        <v>300</v>
      </c>
      <c r="BV35" t="str">
        <v>300</v>
      </c>
      <c r="BW35" t="str">
        <v>369.096283</v>
      </c>
      <c r="BX35" t="str">
        <v>25</v>
      </c>
      <c r="BY35" t="str">
        <v>-5.735079</v>
      </c>
      <c r="BZ35" t="str">
        <v>369.517914</v>
      </c>
      <c r="CA35" t="str">
        <v>369.533325</v>
      </c>
      <c r="CB35" t="str">
        <v>-0.015411</v>
      </c>
      <c r="CC35" t="str">
        <v>2.462327</v>
      </c>
      <c r="CD35" t="str">
        <v>2.470573</v>
      </c>
      <c r="CE35" t="str">
        <v>1.328933</v>
      </c>
      <c r="CF35" t="str">
        <v>0.581212</v>
      </c>
      <c r="CG35" t="str">
        <v>0.268290</v>
      </c>
      <c r="CH35" t="str">
        <v>-0.006358</v>
      </c>
      <c r="CI35" t="str">
        <v>0.309105</v>
      </c>
      <c r="CJ35" t="str">
        <v>0.344382</v>
      </c>
      <c r="CK35" t="str">
        <v>101.088165</v>
      </c>
      <c r="CL35" t="str">
        <v>0.000628</v>
      </c>
      <c r="CM35" t="str">
        <v>2.400430</v>
      </c>
      <c r="CN35" t="str">
        <v>-0.000041</v>
      </c>
      <c r="CO35" t="str">
        <v>1.000000</v>
      </c>
      <c r="CP35" t="str">
        <v>2.408421</v>
      </c>
      <c r="CQ35" t="str">
        <v>-0.000039</v>
      </c>
      <c r="CR35" t="str">
        <v>1.000000</v>
      </c>
      <c r="CS35" t="str">
        <v>0.600250</v>
      </c>
      <c r="CT35" t="str">
        <v>0.601702</v>
      </c>
      <c r="CU35" t="str">
        <v>0.107071</v>
      </c>
      <c r="CV35" t="str">
        <v>0.000000</v>
      </c>
      <c r="CW35" t="str">
        <v>PSF-00232_20260303135413_313</v>
      </c>
      <c r="CX35" t="str">
        <v>PFA-00245</v>
      </c>
      <c r="CY35" t="str">
        <v>PSA-00257</v>
      </c>
      <c r="CZ35" t="str">
        <v>PSF-00232</v>
      </c>
      <c r="DA35" t="str">
        <v>RHS-00222</v>
      </c>
      <c r="DB35" t="str">
        <v>3.0.0</v>
      </c>
      <c r="DC35" t="str">
        <v>2021-01-19T12:57:14.097Z</v>
      </c>
    </row>
    <row r="36">
      <c r="A36" t="str">
        <v>11</v>
      </c>
      <c r="B36" t="str">
        <v>14:00:54</v>
      </c>
      <c r="C36" t="str">
        <v>2026-03-03</v>
      </c>
      <c r="D36" t="str">
        <v>Manual gsw+F</v>
      </c>
      <c r="E36" t="str">
        <v>LI-COR Default</v>
      </c>
      <c r="F36" t="str">
        <v/>
      </c>
      <c r="G36" t="str">
        <v>011</v>
      </c>
      <c r="H36" t="str">
        <v/>
      </c>
      <c r="I36" t="str">
        <v/>
      </c>
      <c r="J36" t="str">
        <f>1/((1/L36)-(1/K36))</f>
        <v>0.004139</v>
      </c>
      <c r="K36" t="str">
        <f>BH36+(BI36*AN36)+(BJ36*AN36*POWER(V36,2))+(BK36*AN36*V36)+(BL36*POWER(AN36,2))</f>
        <v>2.691494</v>
      </c>
      <c r="L36" t="str">
        <f>((M36/1000)*(1000-((T36+S36)/2)))/(T36-S36)</f>
        <v>0.004132</v>
      </c>
      <c r="M36" t="str">
        <f>(AN36*(S36-R36))/(100*U36*(1000-S36))*1000</f>
        <v>0.103696</v>
      </c>
      <c r="N36" t="str">
        <v>1.161386</v>
      </c>
      <c r="O36" t="str">
        <v>1.157915</v>
      </c>
      <c r="P36" t="str">
        <f>0.61365*EXP((17.502*AL36)/(240.97+AL36))</f>
        <v>3.657400</v>
      </c>
      <c r="Q36" t="str">
        <f>P36-N36</f>
        <v>2.496013</v>
      </c>
      <c r="R36" t="str">
        <v>11.366061</v>
      </c>
      <c r="S36" t="str">
        <v>11.400141</v>
      </c>
      <c r="T36" t="str">
        <f>(P36/AM36)*1000</f>
        <v>35.900944</v>
      </c>
      <c r="U36" t="str">
        <f>V36*BG36</f>
        <v>0.441786</v>
      </c>
      <c r="V36" t="str">
        <v>7.500000</v>
      </c>
      <c r="W36" t="str">
        <v>PSF-00232_20260303140054_44a</v>
      </c>
      <c r="X36" t="str">
        <v>0.000000</v>
      </c>
      <c r="Y36" t="str">
        <v>0.000000</v>
      </c>
      <c r="Z36" t="str">
        <v>0.000000</v>
      </c>
      <c r="AA36" t="str">
        <v>135.567780</v>
      </c>
      <c r="AB36" t="str">
        <v>164.542786</v>
      </c>
      <c r="AC36" t="str">
        <v>0.176094</v>
      </c>
      <c r="AD36" t="str">
        <v>0.5</v>
      </c>
      <c r="AE36" t="str">
        <v>0.80</v>
      </c>
      <c r="AF36" t="str">
        <f>AC36*AD36*AE36*AQ36</f>
        <v>122.650589</v>
      </c>
      <c r="AG36" t="str">
        <v>1.000000</v>
      </c>
      <c r="AH36" t="str">
        <v>36.27</v>
      </c>
      <c r="AI36" t="str">
        <v>36.16</v>
      </c>
      <c r="AJ36" t="str">
        <v>25.12</v>
      </c>
      <c r="AK36" t="str">
        <v>27.37</v>
      </c>
      <c r="AL36" t="str">
        <f>(AK36-AJ36)*(AJ36*0+0)+AK36</f>
        <v>27.37</v>
      </c>
      <c r="AM36" t="str">
        <v>101.87</v>
      </c>
      <c r="AN36" t="str">
        <v>132.9</v>
      </c>
      <c r="AO36" t="str">
        <v>-8.2</v>
      </c>
      <c r="AP36" t="str">
        <v>106.2</v>
      </c>
      <c r="AQ36" t="str">
        <v>1741</v>
      </c>
      <c r="AR36" t="str">
        <v>3.744</v>
      </c>
      <c r="AS36" t="str">
        <v>13:53:52</v>
      </c>
      <c r="AT36" t="str">
        <v>2026-03-03</v>
      </c>
      <c r="AU36" t="str">
        <v>0.18</v>
      </c>
      <c r="AV36" t="str">
        <v>1</v>
      </c>
      <c r="AW36" t="str">
        <v>-0.001</v>
      </c>
      <c r="AX36" t="str">
        <v>-0.002</v>
      </c>
      <c r="AY36" t="str">
        <v>-0.003</v>
      </c>
      <c r="AZ36" t="str">
        <v>-0.301</v>
      </c>
      <c r="BA36" t="str">
        <v>-0.048</v>
      </c>
      <c r="BB36" t="str">
        <v>1.480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-9999.000000</v>
      </c>
      <c r="BS36" t="str">
        <v>-9999.000000</v>
      </c>
      <c r="BT36" t="str">
        <v>300</v>
      </c>
      <c r="BU36" t="str">
        <v>300</v>
      </c>
      <c r="BV36" t="str">
        <v>300</v>
      </c>
      <c r="BW36" t="str">
        <v>160.785202</v>
      </c>
      <c r="BX36" t="str">
        <v>25</v>
      </c>
      <c r="BY36" t="str">
        <v>-2.548319</v>
      </c>
      <c r="BZ36" t="str">
        <v>160.858154</v>
      </c>
      <c r="CA36" t="str">
        <v>160.891281</v>
      </c>
      <c r="CB36" t="str">
        <v>-0.033127</v>
      </c>
      <c r="CC36" t="str">
        <v>2.462532</v>
      </c>
      <c r="CD36" t="str">
        <v>2.470889</v>
      </c>
      <c r="CE36" t="str">
        <v>1.447910</v>
      </c>
      <c r="CF36" t="str">
        <v>0.587437</v>
      </c>
      <c r="CG36" t="str">
        <v>0.271451</v>
      </c>
      <c r="CH36" t="str">
        <v>0.026519</v>
      </c>
      <c r="CI36" t="str">
        <v>0.331901</v>
      </c>
      <c r="CJ36" t="str">
        <v>1.558712</v>
      </c>
      <c r="CK36" t="str">
        <v>135.567780</v>
      </c>
      <c r="CL36" t="str">
        <v>0.000598</v>
      </c>
      <c r="CM36" t="str">
        <v>2.400430</v>
      </c>
      <c r="CN36" t="str">
        <v>-0.000041</v>
      </c>
      <c r="CO36" t="str">
        <v>1.000000</v>
      </c>
      <c r="CP36" t="str">
        <v>2.408421</v>
      </c>
      <c r="CQ36" t="str">
        <v>-0.000039</v>
      </c>
      <c r="CR36" t="str">
        <v>1.000000</v>
      </c>
      <c r="CS36" t="str">
        <v>0.600250</v>
      </c>
      <c r="CT36" t="str">
        <v>0.601702</v>
      </c>
      <c r="CU36" t="str">
        <v>0.107071</v>
      </c>
      <c r="CV36" t="str">
        <v>0.000000</v>
      </c>
      <c r="CW36" t="str">
        <v>PSF-00232_20260303140054_44a</v>
      </c>
      <c r="CX36" t="str">
        <v>PFA-00245</v>
      </c>
      <c r="CY36" t="str">
        <v>PSA-00257</v>
      </c>
      <c r="CZ36" t="str">
        <v>PSF-00232</v>
      </c>
      <c r="DA36" t="str">
        <v>RHS-00222</v>
      </c>
      <c r="DB36" t="str">
        <v>3.0.0</v>
      </c>
      <c r="DC36" t="str">
        <v>2021-01-19T12:57:14.097Z</v>
      </c>
    </row>
    <row r="37">
      <c r="A37" t="str">
        <v>12</v>
      </c>
      <c r="B37" t="str">
        <v>14:17:51</v>
      </c>
      <c r="C37" t="str">
        <v>2026-03-03</v>
      </c>
      <c r="D37" t="str">
        <v>Manual gsw+F</v>
      </c>
      <c r="E37" t="str">
        <v>LI-COR Default</v>
      </c>
      <c r="F37" t="str">
        <v/>
      </c>
      <c r="G37" t="str">
        <v>012</v>
      </c>
      <c r="H37" t="str">
        <v/>
      </c>
      <c r="I37" t="str">
        <v/>
      </c>
      <c r="J37" t="str">
        <f>1/((1/L37)-(1/K37))</f>
        <v>-0.028207</v>
      </c>
      <c r="K37" t="str">
        <f>BH37+(BI37*AN37)+(BJ37*AN37*POWER(V37,2))+(BK37*AN37*V37)+(BL37*POWER(AN37,2))</f>
        <v>2.453320</v>
      </c>
      <c r="L37" t="str">
        <f>((M37/1000)*(1000-((T37+S37)/2)))/(T37-S37)</f>
        <v>-0.028535</v>
      </c>
      <c r="M37" t="str">
        <f>(AN37*(S37-R37))/(100*U37*(1000-S37))*1000</f>
        <v>-0.889223</v>
      </c>
      <c r="N37" t="str">
        <v>1.183494</v>
      </c>
      <c r="O37" t="str">
        <v>1.218215</v>
      </c>
      <c r="P37" t="str">
        <f>0.61365*EXP((17.502*AL37)/(240.97+AL37))</f>
        <v>4.273080</v>
      </c>
      <c r="Q37" t="str">
        <f>P37-N37</f>
        <v>3.089586</v>
      </c>
      <c r="R37" t="str">
        <v>11.958142</v>
      </c>
      <c r="S37" t="str">
        <v>11.617319</v>
      </c>
      <c r="T37" t="str">
        <f>(P37/AM37)*1000</f>
        <v>41.945061</v>
      </c>
      <c r="U37" t="str">
        <f>V37*BG37</f>
        <v>0.441786</v>
      </c>
      <c r="V37" t="str">
        <v>7.500000</v>
      </c>
      <c r="W37" t="str">
        <v>PSF-00232_20260303141751_e40</v>
      </c>
      <c r="X37" t="str">
        <v>0.000000</v>
      </c>
      <c r="Y37" t="str">
        <v>0.000000</v>
      </c>
      <c r="Z37" t="str">
        <v>0.000000</v>
      </c>
      <c r="AA37" t="str">
        <v>68.282959</v>
      </c>
      <c r="AB37" t="str">
        <v>89.548096</v>
      </c>
      <c r="AC37" t="str">
        <v>0.237472</v>
      </c>
      <c r="AD37" t="str">
        <v>0.5</v>
      </c>
      <c r="AE37" t="str">
        <v>0.80</v>
      </c>
      <c r="AF37" t="str">
        <f>AC37*AD37*AE37*AQ37</f>
        <v>189.464798</v>
      </c>
      <c r="AG37" t="str">
        <v>1.000000</v>
      </c>
      <c r="AH37" t="str">
        <v>33.21</v>
      </c>
      <c r="AI37" t="str">
        <v>34.19</v>
      </c>
      <c r="AJ37" t="str">
        <v>26.93</v>
      </c>
      <c r="AK37" t="str">
        <v>30.05</v>
      </c>
      <c r="AL37" t="str">
        <f>(AK37-AJ37)*(AJ37*0+0)+AK37</f>
        <v>30.05</v>
      </c>
      <c r="AM37" t="str">
        <v>101.87</v>
      </c>
      <c r="AN37" t="str">
        <v>113.9</v>
      </c>
      <c r="AO37" t="str">
        <v>-11.7</v>
      </c>
      <c r="AP37" t="str">
        <v>110.3</v>
      </c>
      <c r="AQ37" t="str">
        <v>1995</v>
      </c>
      <c r="AR37" t="str">
        <v>3.736</v>
      </c>
      <c r="AS37" t="str">
        <v>14:16:20</v>
      </c>
      <c r="AT37" t="str">
        <v>2026-03-03</v>
      </c>
      <c r="AU37" t="str">
        <v>0.22</v>
      </c>
      <c r="AV37" t="str">
        <v>1</v>
      </c>
      <c r="AW37" t="str">
        <v>0.000</v>
      </c>
      <c r="AX37" t="str">
        <v>0.002</v>
      </c>
      <c r="AY37" t="str">
        <v>0.002</v>
      </c>
      <c r="AZ37" t="str">
        <v>0.103</v>
      </c>
      <c r="BA37" t="str">
        <v>0.089</v>
      </c>
      <c r="BB37" t="str">
        <v>0.035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mpf</v>
      </c>
      <c r="BP37" t="str">
        <v>7000</v>
      </c>
      <c r="BQ37" t="str">
        <v>500</v>
      </c>
      <c r="BR37" t="str">
        <v>-9999.000000</v>
      </c>
      <c r="BS37" t="str">
        <v>-9999.000000</v>
      </c>
      <c r="BT37" t="str">
        <v>300</v>
      </c>
      <c r="BU37" t="str">
        <v>300</v>
      </c>
      <c r="BV37" t="str">
        <v>300</v>
      </c>
      <c r="BW37" t="str">
        <v>83.951355</v>
      </c>
      <c r="BX37" t="str">
        <v>25</v>
      </c>
      <c r="BY37" t="str">
        <v>-3.855580</v>
      </c>
      <c r="BZ37" t="str">
        <v>83.320854</v>
      </c>
      <c r="CA37" t="str">
        <v>84.023399</v>
      </c>
      <c r="CB37" t="str">
        <v>-0.702545</v>
      </c>
      <c r="CC37" t="str">
        <v>2.459213</v>
      </c>
      <c r="CD37" t="str">
        <v>2.465843</v>
      </c>
      <c r="CE37" t="str">
        <v>1.301219</v>
      </c>
      <c r="CF37" t="str">
        <v>0.581469</v>
      </c>
      <c r="CG37" t="str">
        <v>0.252606</v>
      </c>
      <c r="CH37" t="str">
        <v>0.037460</v>
      </c>
      <c r="CI37" t="str">
        <v>0.377941</v>
      </c>
      <c r="CJ37" t="str">
        <v>1.769913</v>
      </c>
      <c r="CK37" t="str">
        <v>68.282959</v>
      </c>
      <c r="CL37" t="str">
        <v>0.000592</v>
      </c>
      <c r="CM37" t="str">
        <v>2.400430</v>
      </c>
      <c r="CN37" t="str">
        <v>-0.000041</v>
      </c>
      <c r="CO37" t="str">
        <v>1.000000</v>
      </c>
      <c r="CP37" t="str">
        <v>2.408421</v>
      </c>
      <c r="CQ37" t="str">
        <v>-0.000039</v>
      </c>
      <c r="CR37" t="str">
        <v>1.000000</v>
      </c>
      <c r="CS37" t="str">
        <v>0.600250</v>
      </c>
      <c r="CT37" t="str">
        <v>0.601702</v>
      </c>
      <c r="CU37" t="str">
        <v>0.107071</v>
      </c>
      <c r="CV37" t="str">
        <v>0.000000</v>
      </c>
      <c r="CW37" t="str">
        <v>PSF-00232_20260303141751_e40</v>
      </c>
      <c r="CX37" t="str">
        <v>PFA-00245</v>
      </c>
      <c r="CY37" t="str">
        <v>PSA-00257</v>
      </c>
      <c r="CZ37" t="str">
        <v>PSF-00232</v>
      </c>
      <c r="DA37" t="str">
        <v>RHS-00222</v>
      </c>
      <c r="DB37" t="str">
        <v>3.0.0</v>
      </c>
      <c r="DC37" t="str">
        <v>2021-01-19T12:57:14.097Z</v>
      </c>
    </row>
    <row r="38">
      <c r="A38" t="str">
        <v>13</v>
      </c>
      <c r="B38" t="str">
        <v>14:22:27</v>
      </c>
      <c r="C38" t="str">
        <v>2026-03-03</v>
      </c>
      <c r="D38" t="str">
        <v>Manual gsw+F</v>
      </c>
      <c r="E38" t="str">
        <v>LI-COR Default</v>
      </c>
      <c r="F38" t="str">
        <v/>
      </c>
      <c r="G38" t="str">
        <v>013</v>
      </c>
      <c r="H38" t="str">
        <v/>
      </c>
      <c r="I38" t="str">
        <v/>
      </c>
      <c r="J38" t="str">
        <f>1/((1/L38)-(1/K38))</f>
        <v>-0.045751</v>
      </c>
      <c r="K38" t="str">
        <f>BH38+(BI38*AN38)+(BJ38*AN38*POWER(V38,2))+(BK38*AN38*V38)+(BL38*POWER(AN38,2))</f>
        <v>2.464318</v>
      </c>
      <c r="L38" t="str">
        <f>((M38/1000)*(1000-((T38+S38)/2)))/(T38-S38)</f>
        <v>-0.046617</v>
      </c>
      <c r="M38" t="str">
        <f>(AN38*(S38-R38))/(100*U38*(1000-S38))*1000</f>
        <v>-1.414274</v>
      </c>
      <c r="N38" t="str">
        <v>1.126588</v>
      </c>
      <c r="O38" t="str">
        <v>1.181457</v>
      </c>
      <c r="P38" t="str">
        <f>0.61365*EXP((17.502*AL38)/(240.97+AL38))</f>
        <v>4.137354</v>
      </c>
      <c r="Q38" t="str">
        <f>P38-N38</f>
        <v>3.010766</v>
      </c>
      <c r="R38" t="str">
        <v>11.597518</v>
      </c>
      <c r="S38" t="str">
        <v>11.058916</v>
      </c>
      <c r="T38" t="str">
        <f>(P38/AM38)*1000</f>
        <v>40.613457</v>
      </c>
      <c r="U38" t="str">
        <f>V38*BG38</f>
        <v>0.441786</v>
      </c>
      <c r="V38" t="str">
        <v>7.500000</v>
      </c>
      <c r="W38" t="str">
        <v>PSF-00232_20260303142227_b9a</v>
      </c>
      <c r="X38" t="str">
        <v>0.000000</v>
      </c>
      <c r="Y38" t="str">
        <v>0.000000</v>
      </c>
      <c r="Z38" t="str">
        <v>0.000000</v>
      </c>
      <c r="AA38" t="str">
        <v>86.279152</v>
      </c>
      <c r="AB38" t="str">
        <v>112.332993</v>
      </c>
      <c r="AC38" t="str">
        <v>0.231934</v>
      </c>
      <c r="AD38" t="str">
        <v>0.5</v>
      </c>
      <c r="AE38" t="str">
        <v>0.80</v>
      </c>
      <c r="AF38" t="str">
        <f>AC38*AD38*AE38*AQ38</f>
        <v>180.324768</v>
      </c>
      <c r="AG38" t="str">
        <v>1.000000</v>
      </c>
      <c r="AH38" t="str">
        <v>30.86</v>
      </c>
      <c r="AI38" t="str">
        <v>32.36</v>
      </c>
      <c r="AJ38" t="str">
        <v>27.34</v>
      </c>
      <c r="AK38" t="str">
        <v>29.49</v>
      </c>
      <c r="AL38" t="str">
        <f>(AK38-AJ38)*(AJ38*0+0)+AK38</f>
        <v>29.49</v>
      </c>
      <c r="AM38" t="str">
        <v>101.87</v>
      </c>
      <c r="AN38" t="str">
        <v>114.7</v>
      </c>
      <c r="AO38" t="str">
        <v>-8.4</v>
      </c>
      <c r="AP38" t="str">
        <v>107.4</v>
      </c>
      <c r="AQ38" t="str">
        <v>1944</v>
      </c>
      <c r="AR38" t="str">
        <v>3.731</v>
      </c>
      <c r="AS38" t="str">
        <v>14:16:20</v>
      </c>
      <c r="AT38" t="str">
        <v>2026-03-03</v>
      </c>
      <c r="AU38" t="str">
        <v>0.22</v>
      </c>
      <c r="AV38" t="str">
        <v>1</v>
      </c>
      <c r="AW38" t="str">
        <v>0.000</v>
      </c>
      <c r="AX38" t="str">
        <v>0.000</v>
      </c>
      <c r="AY38" t="str">
        <v>0.000</v>
      </c>
      <c r="AZ38" t="str">
        <v>-0.111</v>
      </c>
      <c r="BA38" t="str">
        <v>-0.265</v>
      </c>
      <c r="BB38" t="str">
        <v>-0.232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mpf</v>
      </c>
      <c r="BP38" t="str">
        <v>7000</v>
      </c>
      <c r="BQ38" t="str">
        <v>500</v>
      </c>
      <c r="BR38" t="str">
        <v>-9999.000000</v>
      </c>
      <c r="BS38" t="str">
        <v>-9999.000000</v>
      </c>
      <c r="BT38" t="str">
        <v>300</v>
      </c>
      <c r="BU38" t="str">
        <v>300</v>
      </c>
      <c r="BV38" t="str">
        <v>300</v>
      </c>
      <c r="BW38" t="str">
        <v>106.871727</v>
      </c>
      <c r="BX38" t="str">
        <v>25</v>
      </c>
      <c r="BY38" t="str">
        <v>-3.739954</v>
      </c>
      <c r="BZ38" t="str">
        <v>106.555222</v>
      </c>
      <c r="CA38" t="str">
        <v>106.973976</v>
      </c>
      <c r="CB38" t="str">
        <v>-0.418755</v>
      </c>
      <c r="CC38" t="str">
        <v>2.456385</v>
      </c>
      <c r="CD38" t="str">
        <v>2.462168</v>
      </c>
      <c r="CE38" t="str">
        <v>1.307225</v>
      </c>
      <c r="CF38" t="str">
        <v>0.587083</v>
      </c>
      <c r="CG38" t="str">
        <v>0.248516</v>
      </c>
      <c r="CH38" t="str">
        <v>0.025669</v>
      </c>
      <c r="CI38" t="str">
        <v>0.389603</v>
      </c>
      <c r="CJ38" t="str">
        <v>1.727482</v>
      </c>
      <c r="CK38" t="str">
        <v>86.279152</v>
      </c>
      <c r="CL38" t="str">
        <v>0.000583</v>
      </c>
      <c r="CM38" t="str">
        <v>2.400430</v>
      </c>
      <c r="CN38" t="str">
        <v>-0.000041</v>
      </c>
      <c r="CO38" t="str">
        <v>1.000000</v>
      </c>
      <c r="CP38" t="str">
        <v>2.408421</v>
      </c>
      <c r="CQ38" t="str">
        <v>-0.000039</v>
      </c>
      <c r="CR38" t="str">
        <v>1.000000</v>
      </c>
      <c r="CS38" t="str">
        <v>0.600250</v>
      </c>
      <c r="CT38" t="str">
        <v>0.601702</v>
      </c>
      <c r="CU38" t="str">
        <v>0.107071</v>
      </c>
      <c r="CV38" t="str">
        <v>0.000000</v>
      </c>
      <c r="CW38" t="str">
        <v>PSF-00232_20260303142227_b9a</v>
      </c>
      <c r="CX38" t="str">
        <v>PFA-00245</v>
      </c>
      <c r="CY38" t="str">
        <v>PSA-00257</v>
      </c>
      <c r="CZ38" t="str">
        <v>PSF-00232</v>
      </c>
      <c r="DA38" t="str">
        <v>RHS-00222</v>
      </c>
      <c r="DB38" t="str">
        <v>3.0.0</v>
      </c>
      <c r="DC38" t="str">
        <v>2021-01-19T12:57:14.097Z</v>
      </c>
    </row>
    <row r="39">
      <c r="A39" t="str">
        <v>14</v>
      </c>
      <c r="B39" t="str">
        <v>14:25:47</v>
      </c>
      <c r="C39" t="str">
        <v>2026-03-03</v>
      </c>
      <c r="D39" t="str">
        <v>Manual gsw+F</v>
      </c>
      <c r="E39" t="str">
        <v>LI-COR Default</v>
      </c>
      <c r="F39" t="str">
        <v/>
      </c>
      <c r="G39" t="str">
        <v>014</v>
      </c>
      <c r="H39" t="str">
        <v/>
      </c>
      <c r="I39" t="str">
        <v/>
      </c>
      <c r="J39" t="str">
        <f>1/((1/L39)-(1/K39))</f>
        <v>-0.054533</v>
      </c>
      <c r="K39" t="str">
        <f>BH39+(BI39*AN39)+(BJ39*AN39*POWER(V39,2))+(BK39*AN39*V39)+(BL39*POWER(AN39,2))</f>
        <v>2.612355</v>
      </c>
      <c r="L39" t="str">
        <f>((M39/1000)*(1000-((T39+S39)/2)))/(T39-S39)</f>
        <v>-0.055696</v>
      </c>
      <c r="M39" t="str">
        <f>(AN39*(S39-R39))/(100*U39*(1000-S39))*1000</f>
        <v>-1.583401</v>
      </c>
      <c r="N39" t="str">
        <v>1.116062</v>
      </c>
      <c r="O39" t="str">
        <v>1.171929</v>
      </c>
      <c r="P39" t="str">
        <f>0.61365*EXP((17.502*AL39)/(240.97+AL39))</f>
        <v>3.940056</v>
      </c>
      <c r="Q39" t="str">
        <f>P39-N39</f>
        <v>2.823994</v>
      </c>
      <c r="R39" t="str">
        <v>11.505068</v>
      </c>
      <c r="S39" t="str">
        <v>10.956606</v>
      </c>
      <c r="T39" t="str">
        <f>(P39/AM39)*1000</f>
        <v>38.680328</v>
      </c>
      <c r="U39" t="str">
        <f>V39*BG39</f>
        <v>0.441786</v>
      </c>
      <c r="V39" t="str">
        <v>7.500000</v>
      </c>
      <c r="W39" t="str">
        <v>PSF-00232_20260303142547_ed5</v>
      </c>
      <c r="X39" t="str">
        <v>0.000000</v>
      </c>
      <c r="Y39" t="str">
        <v>0.000000</v>
      </c>
      <c r="Z39" t="str">
        <v>0.000000</v>
      </c>
      <c r="AA39" t="str">
        <v>74.287178</v>
      </c>
      <c r="AB39" t="str">
        <v>99.984818</v>
      </c>
      <c r="AC39" t="str">
        <v>0.257015</v>
      </c>
      <c r="AD39" t="str">
        <v>0.5</v>
      </c>
      <c r="AE39" t="str">
        <v>0.80</v>
      </c>
      <c r="AF39" t="str">
        <f>AC39*AD39*AE39*AQ39</f>
        <v>208.533646</v>
      </c>
      <c r="AG39" t="str">
        <v>1.000000</v>
      </c>
      <c r="AH39" t="str">
        <v>30.27</v>
      </c>
      <c r="AI39" t="str">
        <v>31.79</v>
      </c>
      <c r="AJ39" t="str">
        <v>27.50</v>
      </c>
      <c r="AK39" t="str">
        <v>28.65</v>
      </c>
      <c r="AL39" t="str">
        <f>(AK39-AJ39)*(AJ39*0+0)+AK39</f>
        <v>28.65</v>
      </c>
      <c r="AM39" t="str">
        <v>101.86</v>
      </c>
      <c r="AN39" t="str">
        <v>126.1</v>
      </c>
      <c r="AO39" t="str">
        <v>-10.8</v>
      </c>
      <c r="AP39" t="str">
        <v>108.6</v>
      </c>
      <c r="AQ39" t="str">
        <v>2028</v>
      </c>
      <c r="AR39" t="str">
        <v>3.727</v>
      </c>
      <c r="AS39" t="str">
        <v>14:16:20</v>
      </c>
      <c r="AT39" t="str">
        <v>2026-03-03</v>
      </c>
      <c r="AU39" t="str">
        <v>0.22</v>
      </c>
      <c r="AV39" t="str">
        <v>1</v>
      </c>
      <c r="AW39" t="str">
        <v>-0.002</v>
      </c>
      <c r="AX39" t="str">
        <v>-0.003</v>
      </c>
      <c r="AY39" t="str">
        <v>-0.003</v>
      </c>
      <c r="AZ39" t="str">
        <v>-0.136</v>
      </c>
      <c r="BA39" t="str">
        <v>-0.053</v>
      </c>
      <c r="BB39" t="str">
        <v>-0.035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mpf</v>
      </c>
      <c r="BP39" t="str">
        <v>7000</v>
      </c>
      <c r="BQ39" t="str">
        <v>500</v>
      </c>
      <c r="BR39" t="str">
        <v>-9999.000000</v>
      </c>
      <c r="BS39" t="str">
        <v>-9999.000000</v>
      </c>
      <c r="BT39" t="str">
        <v>300</v>
      </c>
      <c r="BU39" t="str">
        <v>300</v>
      </c>
      <c r="BV39" t="str">
        <v>300</v>
      </c>
      <c r="BW39" t="str">
        <v>95.029953</v>
      </c>
      <c r="BX39" t="str">
        <v>25</v>
      </c>
      <c r="BY39" t="str">
        <v>-3.350904</v>
      </c>
      <c r="BZ39" t="str">
        <v>95.324997</v>
      </c>
      <c r="CA39" t="str">
        <v>95.183281</v>
      </c>
      <c r="CB39" t="str">
        <v>0.141716</v>
      </c>
      <c r="CC39" t="str">
        <v>2.455482</v>
      </c>
      <c r="CD39" t="str">
        <v>2.461234</v>
      </c>
      <c r="CE39" t="str">
        <v>1.394813</v>
      </c>
      <c r="CF39" t="str">
        <v>0.583059</v>
      </c>
      <c r="CG39" t="str">
        <v>0.246868</v>
      </c>
      <c r="CH39" t="str">
        <v>0.013436</v>
      </c>
      <c r="CI39" t="str">
        <v>0.396133</v>
      </c>
      <c r="CJ39" t="str">
        <v>1.798101</v>
      </c>
      <c r="CK39" t="str">
        <v>74.287178</v>
      </c>
      <c r="CL39" t="str">
        <v>0.000609</v>
      </c>
      <c r="CM39" t="str">
        <v>2.400430</v>
      </c>
      <c r="CN39" t="str">
        <v>-0.000041</v>
      </c>
      <c r="CO39" t="str">
        <v>1.000000</v>
      </c>
      <c r="CP39" t="str">
        <v>2.408421</v>
      </c>
      <c r="CQ39" t="str">
        <v>-0.000039</v>
      </c>
      <c r="CR39" t="str">
        <v>1.000000</v>
      </c>
      <c r="CS39" t="str">
        <v>0.600250</v>
      </c>
      <c r="CT39" t="str">
        <v>0.601702</v>
      </c>
      <c r="CU39" t="str">
        <v>0.107071</v>
      </c>
      <c r="CV39" t="str">
        <v>0.000000</v>
      </c>
      <c r="CW39" t="str">
        <v>PSF-00232_20260303142547_ed5</v>
      </c>
      <c r="CX39" t="str">
        <v>PFA-00245</v>
      </c>
      <c r="CY39" t="str">
        <v>PSA-00257</v>
      </c>
      <c r="CZ39" t="str">
        <v>PSF-00232</v>
      </c>
      <c r="DA39" t="str">
        <v>RHS-00222</v>
      </c>
      <c r="DB39" t="str">
        <v>3.0.0</v>
      </c>
      <c r="DC39" t="str">
        <v>2021-01-19T12:57:14.097Z</v>
      </c>
    </row>
    <row r="40">
      <c r="A40" t="str">
        <v>15</v>
      </c>
      <c r="B40" t="str">
        <v>14:28:05</v>
      </c>
      <c r="C40" t="str">
        <v>2026-03-03</v>
      </c>
      <c r="D40" t="str">
        <v>Manual gsw+F</v>
      </c>
      <c r="E40" t="str">
        <v>LI-COR Default</v>
      </c>
      <c r="F40" t="str">
        <v/>
      </c>
      <c r="G40" t="str">
        <v>015</v>
      </c>
      <c r="H40" t="str">
        <v/>
      </c>
      <c r="I40" t="str">
        <v/>
      </c>
      <c r="J40" t="str">
        <f>1/((1/L40)-(1/K40))</f>
        <v>-0.031172</v>
      </c>
      <c r="K40" t="str">
        <f>BH40+(BI40*AN40)+(BJ40*AN40*POWER(V40,2))+(BK40*AN40*V40)+(BL40*POWER(AN40,2))</f>
        <v>2.500034</v>
      </c>
      <c r="L40" t="str">
        <f>((M40/1000)*(1000-((T40+S40)/2)))/(T40-S40)</f>
        <v>-0.031566</v>
      </c>
      <c r="M40" t="str">
        <f>(AN40*(S40-R40))/(100*U40*(1000-S40))*1000</f>
        <v>-0.984189</v>
      </c>
      <c r="N40" t="str">
        <v>1.171829</v>
      </c>
      <c r="O40" t="str">
        <v>1.209137</v>
      </c>
      <c r="P40" t="str">
        <f>0.61365*EXP((17.502*AL40)/(240.97+AL40))</f>
        <v>4.263313</v>
      </c>
      <c r="Q40" t="str">
        <f>P40-N40</f>
        <v>3.091484</v>
      </c>
      <c r="R40" t="str">
        <v>11.869383</v>
      </c>
      <c r="S40" t="str">
        <v>11.503153</v>
      </c>
      <c r="T40" t="str">
        <f>(P40/AM40)*1000</f>
        <v>41.850426</v>
      </c>
      <c r="U40" t="str">
        <f>V40*BG40</f>
        <v>0.441786</v>
      </c>
      <c r="V40" t="str">
        <v>7.500000</v>
      </c>
      <c r="W40" t="str">
        <v>PSF-00232_20260303142805_a56</v>
      </c>
      <c r="X40" t="str">
        <v>0.000000</v>
      </c>
      <c r="Y40" t="str">
        <v>0.000000</v>
      </c>
      <c r="Z40" t="str">
        <v>0.000000</v>
      </c>
      <c r="AA40" t="str">
        <v>71.671127</v>
      </c>
      <c r="AB40" t="str">
        <v>92.513412</v>
      </c>
      <c r="AC40" t="str">
        <v>0.225289</v>
      </c>
      <c r="AD40" t="str">
        <v>0.5</v>
      </c>
      <c r="AE40" t="str">
        <v>0.80</v>
      </c>
      <c r="AF40" t="str">
        <f>AC40*AD40*AE40*AQ40</f>
        <v>179.484070</v>
      </c>
      <c r="AG40" t="str">
        <v>1.000000</v>
      </c>
      <c r="AH40" t="str">
        <v>31.17</v>
      </c>
      <c r="AI40" t="str">
        <v>32.17</v>
      </c>
      <c r="AJ40" t="str">
        <v>27.84</v>
      </c>
      <c r="AK40" t="str">
        <v>30.01</v>
      </c>
      <c r="AL40" t="str">
        <f>(AK40-AJ40)*(AJ40*0+0)+AK40</f>
        <v>30.01</v>
      </c>
      <c r="AM40" t="str">
        <v>101.87</v>
      </c>
      <c r="AN40" t="str">
        <v>117.4</v>
      </c>
      <c r="AO40" t="str">
        <v>-11.9</v>
      </c>
      <c r="AP40" t="str">
        <v>110.1</v>
      </c>
      <c r="AQ40" t="str">
        <v>1992</v>
      </c>
      <c r="AR40" t="str">
        <v>3.711</v>
      </c>
      <c r="AS40" t="str">
        <v>14:27:42</v>
      </c>
      <c r="AT40" t="str">
        <v>2026-03-03</v>
      </c>
      <c r="AU40" t="str">
        <v>0.24</v>
      </c>
      <c r="AV40" t="str">
        <v>1</v>
      </c>
      <c r="AW40" t="str">
        <v>-0.001</v>
      </c>
      <c r="AX40" t="str">
        <v>-0.001</v>
      </c>
      <c r="AY40" t="str">
        <v>0.005</v>
      </c>
      <c r="AZ40" t="str">
        <v>-0.011</v>
      </c>
      <c r="BA40" t="str">
        <v>0.076</v>
      </c>
      <c r="BB40" t="str">
        <v>0.141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mpf</v>
      </c>
      <c r="BP40" t="str">
        <v>7000</v>
      </c>
      <c r="BQ40" t="str">
        <v>500</v>
      </c>
      <c r="BR40" t="str">
        <v>-9999.000000</v>
      </c>
      <c r="BS40" t="str">
        <v>-9999.000000</v>
      </c>
      <c r="BT40" t="str">
        <v>300</v>
      </c>
      <c r="BU40" t="str">
        <v>300</v>
      </c>
      <c r="BV40" t="str">
        <v>300</v>
      </c>
      <c r="BW40" t="str">
        <v>88.638428</v>
      </c>
      <c r="BX40" t="str">
        <v>25</v>
      </c>
      <c r="BY40" t="str">
        <v>-2.636286</v>
      </c>
      <c r="BZ40" t="str">
        <v>88.467834</v>
      </c>
      <c r="CA40" t="str">
        <v>88.735855</v>
      </c>
      <c r="CB40" t="str">
        <v>-0.268021</v>
      </c>
      <c r="CC40" t="str">
        <v>2.455992</v>
      </c>
      <c r="CD40" t="str">
        <v>2.462527</v>
      </c>
      <c r="CE40" t="str">
        <v>1.327168</v>
      </c>
      <c r="CF40" t="str">
        <v>0.581174</v>
      </c>
      <c r="CG40" t="str">
        <v>0.243620</v>
      </c>
      <c r="CH40" t="str">
        <v>0.025986</v>
      </c>
      <c r="CI40" t="str">
        <v>0.403058</v>
      </c>
      <c r="CJ40" t="str">
        <v>1.767497</v>
      </c>
      <c r="CK40" t="str">
        <v>71.671127</v>
      </c>
      <c r="CL40" t="str">
        <v>0.000590</v>
      </c>
      <c r="CM40" t="str">
        <v>2.400430</v>
      </c>
      <c r="CN40" t="str">
        <v>-0.000041</v>
      </c>
      <c r="CO40" t="str">
        <v>1.000000</v>
      </c>
      <c r="CP40" t="str">
        <v>2.408421</v>
      </c>
      <c r="CQ40" t="str">
        <v>-0.000039</v>
      </c>
      <c r="CR40" t="str">
        <v>1.000000</v>
      </c>
      <c r="CS40" t="str">
        <v>0.600250</v>
      </c>
      <c r="CT40" t="str">
        <v>0.601702</v>
      </c>
      <c r="CU40" t="str">
        <v>0.107071</v>
      </c>
      <c r="CV40" t="str">
        <v>0.000000</v>
      </c>
      <c r="CW40" t="str">
        <v>PSF-00232_20260303142805_a56</v>
      </c>
      <c r="CX40" t="str">
        <v>PFA-00245</v>
      </c>
      <c r="CY40" t="str">
        <v>PSA-00257</v>
      </c>
      <c r="CZ40" t="str">
        <v>PSF-00232</v>
      </c>
      <c r="DA40" t="str">
        <v>RHS-00222</v>
      </c>
      <c r="DB40" t="str">
        <v>3.0.0</v>
      </c>
      <c r="DC40" t="str">
        <v>2021-01-19T12:57:14.097Z</v>
      </c>
    </row>
    <row r="41">
      <c r="A41" t="str">
        <v>1</v>
      </c>
      <c r="B41" t="str">
        <v>15:15:04</v>
      </c>
      <c r="C41" t="str">
        <v>2026-03-03</v>
      </c>
      <c r="D41" t="str">
        <v>Manual gsw+F</v>
      </c>
      <c r="E41" t="str">
        <v>LI-COR Default</v>
      </c>
      <c r="F41" t="str">
        <v/>
      </c>
      <c r="G41" t="str">
        <v>001</v>
      </c>
      <c r="H41" t="str">
        <v/>
      </c>
      <c r="I41" t="str">
        <v/>
      </c>
      <c r="J41" t="str">
        <f>1/((1/L41)-(1/K41))</f>
        <v>-0.039468</v>
      </c>
      <c r="K41" t="str">
        <f>BH41+(BI41*AN41)+(BJ41*AN41*POWER(V41,2))+(BK41*AN41*V41)+(BL41*POWER(AN41,2))</f>
        <v>2.468287</v>
      </c>
      <c r="L41" t="str">
        <f>((M41/1000)*(1000-((T41+S41)/2)))/(T41-S41)</f>
        <v>-0.040109</v>
      </c>
      <c r="M41" t="str">
        <f>(AN41*(S41-R41))/(100*U41*(1000-S41))*1000</f>
        <v>-1.270249</v>
      </c>
      <c r="N41" t="str">
        <v>1.133828</v>
      </c>
      <c r="O41" t="str">
        <v>1.182961</v>
      </c>
      <c r="P41" t="str">
        <f>0.61365*EXP((17.502*AL41)/(240.97+AL41))</f>
        <v>4.273160</v>
      </c>
      <c r="Q41" t="str">
        <f>P41-N41</f>
        <v>3.139332</v>
      </c>
      <c r="R41" t="str">
        <v>11.616877</v>
      </c>
      <c r="S41" t="str">
        <v>11.134378</v>
      </c>
      <c r="T41" t="str">
        <f>(P41/AM41)*1000</f>
        <v>41.963150</v>
      </c>
      <c r="U41" t="str">
        <f>V41*BG41</f>
        <v>0.441786</v>
      </c>
      <c r="V41" t="str">
        <v>7.500000</v>
      </c>
      <c r="W41" t="str">
        <v>PSF-00232_20260303151504_407</v>
      </c>
      <c r="X41" t="str">
        <v>0.000000</v>
      </c>
      <c r="Y41" t="str">
        <v>0.000000</v>
      </c>
      <c r="Z41" t="str">
        <v>0.000000</v>
      </c>
      <c r="AA41" t="str">
        <v>83.588722</v>
      </c>
      <c r="AB41" t="str">
        <v>101.794037</v>
      </c>
      <c r="AC41" t="str">
        <v>0.178845</v>
      </c>
      <c r="AD41" t="str">
        <v>0.5</v>
      </c>
      <c r="AE41" t="str">
        <v>0.80</v>
      </c>
      <c r="AF41" t="str">
        <f>AC41*AD41*AE41*AQ41</f>
        <v>142.519867</v>
      </c>
      <c r="AG41" t="str">
        <v>1.000000</v>
      </c>
      <c r="AH41" t="str">
        <v>31.78</v>
      </c>
      <c r="AI41" t="str">
        <v>33.15</v>
      </c>
      <c r="AJ41" t="str">
        <v>26.95</v>
      </c>
      <c r="AK41" t="str">
        <v>30.05</v>
      </c>
      <c r="AL41" t="str">
        <f>(AK41-AJ41)*(AJ41*0+0)+AK41</f>
        <v>30.05</v>
      </c>
      <c r="AM41" t="str">
        <v>101.83</v>
      </c>
      <c r="AN41" t="str">
        <v>115.0</v>
      </c>
      <c r="AO41" t="str">
        <v>-9.8</v>
      </c>
      <c r="AP41" t="str">
        <v>108.6</v>
      </c>
      <c r="AQ41" t="str">
        <v>1992</v>
      </c>
      <c r="AR41" t="str">
        <v>3.705</v>
      </c>
      <c r="AS41" t="str">
        <v>15:14:38</v>
      </c>
      <c r="AT41" t="str">
        <v>2026-03-03</v>
      </c>
      <c r="AU41" t="str">
        <v>0.26</v>
      </c>
      <c r="AV41" t="str">
        <v>1</v>
      </c>
      <c r="AW41" t="str">
        <v>0.001</v>
      </c>
      <c r="AX41" t="str">
        <v>0.002</v>
      </c>
      <c r="AY41" t="str">
        <v>0.002</v>
      </c>
      <c r="AZ41" t="str">
        <v>-0.049</v>
      </c>
      <c r="BA41" t="str">
        <v>0.034</v>
      </c>
      <c r="BB41" t="str">
        <v>-0.145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mpf</v>
      </c>
      <c r="BP41" t="str">
        <v>7000</v>
      </c>
      <c r="BQ41" t="str">
        <v>500</v>
      </c>
      <c r="BR41" t="str">
        <v>-9999.000000</v>
      </c>
      <c r="BS41" t="str">
        <v>-9999.000000</v>
      </c>
      <c r="BT41" t="str">
        <v>300</v>
      </c>
      <c r="BU41" t="str">
        <v>300</v>
      </c>
      <c r="BV41" t="str">
        <v>300</v>
      </c>
      <c r="BW41" t="str">
        <v>99.248886</v>
      </c>
      <c r="BX41" t="str">
        <v>25</v>
      </c>
      <c r="BY41" t="str">
        <v>-1.719435</v>
      </c>
      <c r="BZ41" t="str">
        <v>99.721313</v>
      </c>
      <c r="CA41" t="str">
        <v>99.330246</v>
      </c>
      <c r="CB41" t="str">
        <v>0.391068</v>
      </c>
      <c r="CC41" t="str">
        <v>2.457653</v>
      </c>
      <c r="CD41" t="str">
        <v>2.463577</v>
      </c>
      <c r="CE41" t="str">
        <v>1.309408</v>
      </c>
      <c r="CF41" t="str">
        <v>0.584674</v>
      </c>
      <c r="CG41" t="str">
        <v>0.252387</v>
      </c>
      <c r="CH41" t="str">
        <v>0.037202</v>
      </c>
      <c r="CI41" t="str">
        <v>0.187995</v>
      </c>
      <c r="CJ41" t="str">
        <v>1.767934</v>
      </c>
      <c r="CK41" t="str">
        <v>83.672760</v>
      </c>
      <c r="CL41" t="str">
        <v>0.000603</v>
      </c>
      <c r="CM41" t="str">
        <v>2.400430</v>
      </c>
      <c r="CN41" t="str">
        <v>-0.000041</v>
      </c>
      <c r="CO41" t="str">
        <v>1.000000</v>
      </c>
      <c r="CP41" t="str">
        <v>2.408421</v>
      </c>
      <c r="CQ41" t="str">
        <v>-0.000039</v>
      </c>
      <c r="CR41" t="str">
        <v>1.000000</v>
      </c>
      <c r="CS41" t="str">
        <v>0.600250</v>
      </c>
      <c r="CT41" t="str">
        <v>0.601702</v>
      </c>
      <c r="CU41" t="str">
        <v>0.107071</v>
      </c>
      <c r="CV41" t="str">
        <v>0.000000</v>
      </c>
      <c r="CW41" t="str">
        <v>PSF-00232_20260303151504_407</v>
      </c>
      <c r="CX41" t="str">
        <v>PFA-00245</v>
      </c>
      <c r="CY41" t="str">
        <v>PSA-00257</v>
      </c>
      <c r="CZ41" t="str">
        <v>PSF-00232</v>
      </c>
      <c r="DA41" t="str">
        <v>RHS-00222</v>
      </c>
      <c r="DB41" t="str">
        <v>3.0.0</v>
      </c>
      <c r="DC41" t="str">
        <v>2021-01-19T12:57:14.097Z</v>
      </c>
    </row>
    <row r="42">
      <c r="A42" t="str">
        <v>2</v>
      </c>
      <c r="B42" t="str">
        <v>15:19:15</v>
      </c>
      <c r="C42" t="str">
        <v>2026-03-03</v>
      </c>
      <c r="D42" t="str">
        <v>Manual gsw+F</v>
      </c>
      <c r="E42" t="str">
        <v>LI-COR Default</v>
      </c>
      <c r="F42" t="str">
        <v/>
      </c>
      <c r="G42" t="str">
        <v>002</v>
      </c>
      <c r="H42" t="str">
        <v/>
      </c>
      <c r="I42" t="str">
        <v/>
      </c>
      <c r="J42" t="str">
        <f>1/((1/L42)-(1/K42))</f>
        <v>-0.033966</v>
      </c>
      <c r="K42" t="str">
        <f>BH42+(BI42*AN42)+(BJ42*AN42*POWER(V42,2))+(BK42*AN42*V42)+(BL42*POWER(AN42,2))</f>
        <v>2.893667</v>
      </c>
      <c r="L42" t="str">
        <f>((M42/1000)*(1000-((T42+S42)/2)))/(T42-S42)</f>
        <v>-0.034370</v>
      </c>
      <c r="M42" t="str">
        <f>(AN42*(S42-R42))/(100*U42*(1000-S42))*1000</f>
        <v>-1.022426</v>
      </c>
      <c r="N42" t="str">
        <v>1.147846</v>
      </c>
      <c r="O42" t="str">
        <v>1.177506</v>
      </c>
      <c r="P42" t="str">
        <f>0.61365*EXP((17.502*AL42)/(240.97+AL42))</f>
        <v>4.098782</v>
      </c>
      <c r="Q42" t="str">
        <f>P42-N42</f>
        <v>2.950935</v>
      </c>
      <c r="R42" t="str">
        <v>11.564440</v>
      </c>
      <c r="S42" t="str">
        <v>11.273151</v>
      </c>
      <c r="T42" t="str">
        <f>(P42/AM42)*1000</f>
        <v>40.254677</v>
      </c>
      <c r="U42" t="str">
        <f>V42*BG42</f>
        <v>0.441786</v>
      </c>
      <c r="V42" t="str">
        <v>7.500000</v>
      </c>
      <c r="W42" t="str">
        <v>PSF-00232_20260303151915_19a</v>
      </c>
      <c r="X42" t="str">
        <v>0.000000</v>
      </c>
      <c r="Y42" t="str">
        <v>0.000000</v>
      </c>
      <c r="Z42" t="str">
        <v>0.000000</v>
      </c>
      <c r="AA42" t="str">
        <v>57.668209</v>
      </c>
      <c r="AB42" t="str">
        <v>69.182487</v>
      </c>
      <c r="AC42" t="str">
        <v>0.166433</v>
      </c>
      <c r="AD42" t="str">
        <v>0.5</v>
      </c>
      <c r="AE42" t="str">
        <v>0.80</v>
      </c>
      <c r="AF42" t="str">
        <f>AC42*AD42*AE42*AQ42</f>
        <v>124.510597</v>
      </c>
      <c r="AG42" t="str">
        <v>1.000000</v>
      </c>
      <c r="AH42" t="str">
        <v>31.38</v>
      </c>
      <c r="AI42" t="str">
        <v>32.20</v>
      </c>
      <c r="AJ42" t="str">
        <v>27.37</v>
      </c>
      <c r="AK42" t="str">
        <v>29.33</v>
      </c>
      <c r="AL42" t="str">
        <f>(AK42-AJ42)*(AJ42*0+0)+AK42</f>
        <v>29.33</v>
      </c>
      <c r="AM42" t="str">
        <v>101.82</v>
      </c>
      <c r="AN42" t="str">
        <v>153.3</v>
      </c>
      <c r="AO42" t="str">
        <v>-12.0</v>
      </c>
      <c r="AP42" t="str">
        <v>107.8</v>
      </c>
      <c r="AQ42" t="str">
        <v>1870</v>
      </c>
      <c r="AR42" t="str">
        <v>3.702</v>
      </c>
      <c r="AS42" t="str">
        <v>15:14:38</v>
      </c>
      <c r="AT42" t="str">
        <v>2026-03-03</v>
      </c>
      <c r="AU42" t="str">
        <v>0.26</v>
      </c>
      <c r="AV42" t="str">
        <v>1</v>
      </c>
      <c r="AW42" t="str">
        <v>0.003</v>
      </c>
      <c r="AX42" t="str">
        <v>0.004</v>
      </c>
      <c r="AY42" t="str">
        <v>-0.002</v>
      </c>
      <c r="AZ42" t="str">
        <v>-0.062</v>
      </c>
      <c r="BA42" t="str">
        <v>-0.045</v>
      </c>
      <c r="BB42" t="str">
        <v>0.148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mpf</v>
      </c>
      <c r="BP42" t="str">
        <v>7000</v>
      </c>
      <c r="BQ42" t="str">
        <v>500</v>
      </c>
      <c r="BR42" t="str">
        <v>-9999.000000</v>
      </c>
      <c r="BS42" t="str">
        <v>-9999.000000</v>
      </c>
      <c r="BT42" t="str">
        <v>300</v>
      </c>
      <c r="BU42" t="str">
        <v>300</v>
      </c>
      <c r="BV42" t="str">
        <v>300</v>
      </c>
      <c r="BW42" t="str">
        <v>67.280891</v>
      </c>
      <c r="BX42" t="str">
        <v>25</v>
      </c>
      <c r="BY42" t="str">
        <v>-1.294111</v>
      </c>
      <c r="BZ42" t="str">
        <v>67.349197</v>
      </c>
      <c r="CA42" t="str">
        <v>67.328148</v>
      </c>
      <c r="CB42" t="str">
        <v>0.021049</v>
      </c>
      <c r="CC42" t="str">
        <v>2.456123</v>
      </c>
      <c r="CD42" t="str">
        <v>2.462900</v>
      </c>
      <c r="CE42" t="str">
        <v>1.614795</v>
      </c>
      <c r="CF42" t="str">
        <v>0.581039</v>
      </c>
      <c r="CG42" t="str">
        <v>0.248199</v>
      </c>
      <c r="CH42" t="str">
        <v>0.023309</v>
      </c>
      <c r="CI42" t="str">
        <v>0.212847</v>
      </c>
      <c r="CJ42" t="str">
        <v>1.666265</v>
      </c>
      <c r="CK42" t="str">
        <v>57.668209</v>
      </c>
      <c r="CL42" t="str">
        <v>0.000600</v>
      </c>
      <c r="CM42" t="str">
        <v>2.400430</v>
      </c>
      <c r="CN42" t="str">
        <v>-0.000041</v>
      </c>
      <c r="CO42" t="str">
        <v>1.000000</v>
      </c>
      <c r="CP42" t="str">
        <v>2.408421</v>
      </c>
      <c r="CQ42" t="str">
        <v>-0.000039</v>
      </c>
      <c r="CR42" t="str">
        <v>1.000000</v>
      </c>
      <c r="CS42" t="str">
        <v>0.600250</v>
      </c>
      <c r="CT42" t="str">
        <v>0.601702</v>
      </c>
      <c r="CU42" t="str">
        <v>0.107071</v>
      </c>
      <c r="CV42" t="str">
        <v>0.000000</v>
      </c>
      <c r="CW42" t="str">
        <v>PSF-00232_20260303151915_19a</v>
      </c>
      <c r="CX42" t="str">
        <v>PFA-00245</v>
      </c>
      <c r="CY42" t="str">
        <v>PSA-00257</v>
      </c>
      <c r="CZ42" t="str">
        <v>PSF-00232</v>
      </c>
      <c r="DA42" t="str">
        <v>RHS-00222</v>
      </c>
      <c r="DB42" t="str">
        <v>3.0.0</v>
      </c>
      <c r="DC42" t="str">
        <v>2021-01-19T12:57:14.097Z</v>
      </c>
    </row>
    <row r="43">
      <c r="A43" t="str">
        <v>3</v>
      </c>
      <c r="B43" t="str">
        <v>15:21:20</v>
      </c>
      <c r="C43" t="str">
        <v>2026-03-03</v>
      </c>
      <c r="D43" t="str">
        <v>Manual gsw+F</v>
      </c>
      <c r="E43" t="str">
        <v>LI-COR Default</v>
      </c>
      <c r="F43" t="str">
        <v/>
      </c>
      <c r="G43" t="str">
        <v>003</v>
      </c>
      <c r="H43" t="str">
        <v/>
      </c>
      <c r="I43" t="str">
        <v/>
      </c>
      <c r="J43" t="str">
        <f>1/((1/L43)-(1/K43))</f>
        <v>-0.007761</v>
      </c>
      <c r="K43" t="str">
        <f>BH43+(BI43*AN43)+(BJ43*AN43*POWER(V43,2))+(BK43*AN43*V43)+(BL43*POWER(AN43,2))</f>
        <v>2.512519</v>
      </c>
      <c r="L43" t="str">
        <f>((M43/1000)*(1000-((T43+S43)/2)))/(T43-S43)</f>
        <v>-0.007785</v>
      </c>
      <c r="M43" t="str">
        <f>(AN43*(S43-R43))/(100*U43*(1000-S43))*1000</f>
        <v>-0.250129</v>
      </c>
      <c r="N43" t="str">
        <v>1.178184</v>
      </c>
      <c r="O43" t="str">
        <v>1.187585</v>
      </c>
      <c r="P43" t="str">
        <f>0.61365*EXP((17.502*AL43)/(240.97+AL43))</f>
        <v>4.360601</v>
      </c>
      <c r="Q43" t="str">
        <f>P43-N43</f>
        <v>3.182418</v>
      </c>
      <c r="R43" t="str">
        <v>11.663203</v>
      </c>
      <c r="S43" t="str">
        <v>11.570871</v>
      </c>
      <c r="T43" t="str">
        <f>(P43/AM43)*1000</f>
        <v>42.825203</v>
      </c>
      <c r="U43" t="str">
        <f>V43*BG43</f>
        <v>0.441786</v>
      </c>
      <c r="V43" t="str">
        <v>7.500000</v>
      </c>
      <c r="W43" t="str">
        <v>PSF-00232_20260303152120_b57</v>
      </c>
      <c r="X43" t="str">
        <v>0.000000</v>
      </c>
      <c r="Y43" t="str">
        <v>0.000000</v>
      </c>
      <c r="Z43" t="str">
        <v>0.000000</v>
      </c>
      <c r="AA43" t="str">
        <v>89.318634</v>
      </c>
      <c r="AB43" t="str">
        <v>110.950691</v>
      </c>
      <c r="AC43" t="str">
        <v>0.194970</v>
      </c>
      <c r="AD43" t="str">
        <v>0.5</v>
      </c>
      <c r="AE43" t="str">
        <v>0.80</v>
      </c>
      <c r="AF43" t="str">
        <f>AC43*AD43*AE43*AQ43</f>
        <v>145.934830</v>
      </c>
      <c r="AG43" t="str">
        <v>1.000000</v>
      </c>
      <c r="AH43" t="str">
        <v>31.75</v>
      </c>
      <c r="AI43" t="str">
        <v>32.01</v>
      </c>
      <c r="AJ43" t="str">
        <v>27.61</v>
      </c>
      <c r="AK43" t="str">
        <v>30.41</v>
      </c>
      <c r="AL43" t="str">
        <f>(AK43-AJ43)*(AJ43*0+0)+AK43</f>
        <v>30.41</v>
      </c>
      <c r="AM43" t="str">
        <v>101.82</v>
      </c>
      <c r="AN43" t="str">
        <v>118.3</v>
      </c>
      <c r="AO43" t="str">
        <v>-8.7</v>
      </c>
      <c r="AP43" t="str">
        <v>107.4</v>
      </c>
      <c r="AQ43" t="str">
        <v>1871</v>
      </c>
      <c r="AR43" t="str">
        <v>3.698</v>
      </c>
      <c r="AS43" t="str">
        <v>15:14:38</v>
      </c>
      <c r="AT43" t="str">
        <v>2026-03-03</v>
      </c>
      <c r="AU43" t="str">
        <v>0.26</v>
      </c>
      <c r="AV43" t="str">
        <v>1</v>
      </c>
      <c r="AW43" t="str">
        <v>-0.001</v>
      </c>
      <c r="AX43" t="str">
        <v>0.001</v>
      </c>
      <c r="AY43" t="str">
        <v>0.012</v>
      </c>
      <c r="AZ43" t="str">
        <v>-0.346</v>
      </c>
      <c r="BA43" t="str">
        <v>-0.493</v>
      </c>
      <c r="BB43" t="str">
        <v>-1.963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mpf</v>
      </c>
      <c r="BP43" t="str">
        <v>7000</v>
      </c>
      <c r="BQ43" t="str">
        <v>500</v>
      </c>
      <c r="BR43" t="str">
        <v>-9999.000000</v>
      </c>
      <c r="BS43" t="str">
        <v>-9999.000000</v>
      </c>
      <c r="BT43" t="str">
        <v>300</v>
      </c>
      <c r="BU43" t="str">
        <v>300</v>
      </c>
      <c r="BV43" t="str">
        <v>300</v>
      </c>
      <c r="BW43" t="str">
        <v>106.826660</v>
      </c>
      <c r="BX43" t="str">
        <v>25</v>
      </c>
      <c r="BY43" t="str">
        <v>-2.832171</v>
      </c>
      <c r="BZ43" t="str">
        <v>106.500153</v>
      </c>
      <c r="CA43" t="str">
        <v>106.892448</v>
      </c>
      <c r="CB43" t="str">
        <v>-0.392296</v>
      </c>
      <c r="CC43" t="str">
        <v>2.455793</v>
      </c>
      <c r="CD43" t="str">
        <v>2.463424</v>
      </c>
      <c r="CE43" t="str">
        <v>1.334304</v>
      </c>
      <c r="CF43" t="str">
        <v>0.586610</v>
      </c>
      <c r="CG43" t="str">
        <v>0.245790</v>
      </c>
      <c r="CH43" t="str">
        <v>0.033505</v>
      </c>
      <c r="CI43" t="str">
        <v>0.223862</v>
      </c>
      <c r="CJ43" t="str">
        <v>1.667074</v>
      </c>
      <c r="CK43" t="str">
        <v>89.498520</v>
      </c>
      <c r="CL43" t="str">
        <v>0.000596</v>
      </c>
      <c r="CM43" t="str">
        <v>2.400430</v>
      </c>
      <c r="CN43" t="str">
        <v>-0.000041</v>
      </c>
      <c r="CO43" t="str">
        <v>1.000000</v>
      </c>
      <c r="CP43" t="str">
        <v>2.408421</v>
      </c>
      <c r="CQ43" t="str">
        <v>-0.000039</v>
      </c>
      <c r="CR43" t="str">
        <v>1.000000</v>
      </c>
      <c r="CS43" t="str">
        <v>0.600250</v>
      </c>
      <c r="CT43" t="str">
        <v>0.601702</v>
      </c>
      <c r="CU43" t="str">
        <v>0.107071</v>
      </c>
      <c r="CV43" t="str">
        <v>0.000000</v>
      </c>
      <c r="CW43" t="str">
        <v>PSF-00232_20260303152120_b57</v>
      </c>
      <c r="CX43" t="str">
        <v>PFA-00245</v>
      </c>
      <c r="CY43" t="str">
        <v>PSA-00257</v>
      </c>
      <c r="CZ43" t="str">
        <v>PSF-00232</v>
      </c>
      <c r="DA43" t="str">
        <v>RHS-00222</v>
      </c>
      <c r="DB43" t="str">
        <v>3.0.0</v>
      </c>
      <c r="DC43" t="str">
        <v>2021-01-19T12:57:14.097Z</v>
      </c>
    </row>
    <row r="44">
      <c r="A44" t="str">
        <v>4</v>
      </c>
      <c r="B44" t="str">
        <v>15:23:26</v>
      </c>
      <c r="C44" t="str">
        <v>2026-03-03</v>
      </c>
      <c r="D44" t="str">
        <v>Manual gsw+F</v>
      </c>
      <c r="E44" t="str">
        <v>LI-COR Default</v>
      </c>
      <c r="F44" t="str">
        <v/>
      </c>
      <c r="G44" t="str">
        <v>004</v>
      </c>
      <c r="H44" t="str">
        <v/>
      </c>
      <c r="I44" t="str">
        <v/>
      </c>
      <c r="J44" t="str">
        <f>1/((1/L44)-(1/K44))</f>
        <v>-0.041843</v>
      </c>
      <c r="K44" t="str">
        <f>BH44+(BI44*AN44)+(BJ44*AN44*POWER(V44,2))+(BK44*AN44*V44)+(BL44*POWER(AN44,2))</f>
        <v>2.686367</v>
      </c>
      <c r="L44" t="str">
        <f>((M44/1000)*(1000-((T44+S44)/2)))/(T44-S44)</f>
        <v>-0.042505</v>
      </c>
      <c r="M44" t="str">
        <f>(AN44*(S44-R44))/(100*U44*(1000-S44))*1000</f>
        <v>-1.576298</v>
      </c>
      <c r="N44" t="str">
        <v>1.114902</v>
      </c>
      <c r="O44" t="str">
        <v>1.167853</v>
      </c>
      <c r="P44" t="str">
        <f>0.61365*EXP((17.502*AL44)/(240.97+AL44))</f>
        <v>4.781439</v>
      </c>
      <c r="Q44" t="str">
        <f>P44-N44</f>
        <v>3.666537</v>
      </c>
      <c r="R44" t="str">
        <v>11.470257</v>
      </c>
      <c r="S44" t="str">
        <v>10.950191</v>
      </c>
      <c r="T44" t="str">
        <f>(P44/AM44)*1000</f>
        <v>46.961681</v>
      </c>
      <c r="U44" t="str">
        <f>V44*BG44</f>
        <v>0.441786</v>
      </c>
      <c r="V44" t="str">
        <v>7.500000</v>
      </c>
      <c r="W44" t="str">
        <v>PSF-00232_20260303152326_116</v>
      </c>
      <c r="X44" t="str">
        <v>0.000000</v>
      </c>
      <c r="Y44" t="str">
        <v>0.000000</v>
      </c>
      <c r="Z44" t="str">
        <v>0.000000</v>
      </c>
      <c r="AA44" t="str">
        <v>79.557892</v>
      </c>
      <c r="AB44" t="str">
        <v>101.321938</v>
      </c>
      <c r="AC44" t="str">
        <v>0.214801</v>
      </c>
      <c r="AD44" t="str">
        <v>0.5</v>
      </c>
      <c r="AE44" t="str">
        <v>0.80</v>
      </c>
      <c r="AF44" t="str">
        <f>AC44*AD44*AE44*AQ44</f>
        <v>169.676529</v>
      </c>
      <c r="AG44" t="str">
        <v>1.000000</v>
      </c>
      <c r="AH44" t="str">
        <v>29.01</v>
      </c>
      <c r="AI44" t="str">
        <v>30.38</v>
      </c>
      <c r="AJ44" t="str">
        <v>28.22</v>
      </c>
      <c r="AK44" t="str">
        <v>32.02</v>
      </c>
      <c r="AL44" t="str">
        <f>(AK44-AJ44)*(AJ44*0+0)+AK44</f>
        <v>32.02</v>
      </c>
      <c r="AM44" t="str">
        <v>101.82</v>
      </c>
      <c r="AN44" t="str">
        <v>132.4</v>
      </c>
      <c r="AO44" t="str">
        <v>-11.5</v>
      </c>
      <c r="AP44" t="str">
        <v>108.7</v>
      </c>
      <c r="AQ44" t="str">
        <v>1975</v>
      </c>
      <c r="AR44" t="str">
        <v>3.694</v>
      </c>
      <c r="AS44" t="str">
        <v>15:14:38</v>
      </c>
      <c r="AT44" t="str">
        <v>2026-03-03</v>
      </c>
      <c r="AU44" t="str">
        <v>0.26</v>
      </c>
      <c r="AV44" t="str">
        <v>1</v>
      </c>
      <c r="AW44" t="str">
        <v>-0.000</v>
      </c>
      <c r="AX44" t="str">
        <v>0.000</v>
      </c>
      <c r="AY44" t="str">
        <v>0.001</v>
      </c>
      <c r="AZ44" t="str">
        <v>-0.132</v>
      </c>
      <c r="BA44" t="str">
        <v>-0.331</v>
      </c>
      <c r="BB44" t="str">
        <v>-1.303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mpf</v>
      </c>
      <c r="BP44" t="str">
        <v>7000</v>
      </c>
      <c r="BQ44" t="str">
        <v>500</v>
      </c>
      <c r="BR44" t="str">
        <v>-9999.000000</v>
      </c>
      <c r="BS44" t="str">
        <v>-9999.000000</v>
      </c>
      <c r="BT44" t="str">
        <v>300</v>
      </c>
      <c r="BU44" t="str">
        <v>300</v>
      </c>
      <c r="BV44" t="str">
        <v>300</v>
      </c>
      <c r="BW44" t="str">
        <v>96.169350</v>
      </c>
      <c r="BX44" t="str">
        <v>25</v>
      </c>
      <c r="BY44" t="str">
        <v>-3.555858</v>
      </c>
      <c r="BZ44" t="str">
        <v>95.589996</v>
      </c>
      <c r="CA44" t="str">
        <v>96.226715</v>
      </c>
      <c r="CB44" t="str">
        <v>-0.636719</v>
      </c>
      <c r="CC44" t="str">
        <v>2.453213</v>
      </c>
      <c r="CD44" t="str">
        <v>2.459081</v>
      </c>
      <c r="CE44" t="str">
        <v>1.444309</v>
      </c>
      <c r="CF44" t="str">
        <v>0.581838</v>
      </c>
      <c r="CG44" t="str">
        <v>0.239968</v>
      </c>
      <c r="CH44" t="str">
        <v>0.046252</v>
      </c>
      <c r="CI44" t="str">
        <v>0.234780</v>
      </c>
      <c r="CJ44" t="str">
        <v>1.753413</v>
      </c>
      <c r="CK44" t="str">
        <v>79.557892</v>
      </c>
      <c r="CL44" t="str">
        <v>0.000588</v>
      </c>
      <c r="CM44" t="str">
        <v>2.400430</v>
      </c>
      <c r="CN44" t="str">
        <v>-0.000041</v>
      </c>
      <c r="CO44" t="str">
        <v>1.000000</v>
      </c>
      <c r="CP44" t="str">
        <v>2.408421</v>
      </c>
      <c r="CQ44" t="str">
        <v>-0.000039</v>
      </c>
      <c r="CR44" t="str">
        <v>1.000000</v>
      </c>
      <c r="CS44" t="str">
        <v>0.600250</v>
      </c>
      <c r="CT44" t="str">
        <v>0.601702</v>
      </c>
      <c r="CU44" t="str">
        <v>0.107071</v>
      </c>
      <c r="CV44" t="str">
        <v>0.000000</v>
      </c>
      <c r="CW44" t="str">
        <v>PSF-00232_20260303152326_116</v>
      </c>
      <c r="CX44" t="str">
        <v>PFA-00245</v>
      </c>
      <c r="CY44" t="str">
        <v>PSA-00257</v>
      </c>
      <c r="CZ44" t="str">
        <v>PSF-00232</v>
      </c>
      <c r="DA44" t="str">
        <v>RHS-00222</v>
      </c>
      <c r="DB44" t="str">
        <v>3.0.0</v>
      </c>
      <c r="DC44" t="str">
        <v>2021-01-19T12:57:14.097Z</v>
      </c>
    </row>
    <row r="45">
      <c r="A45" t="str">
        <v>5</v>
      </c>
      <c r="B45" t="str">
        <v>15:26:50</v>
      </c>
      <c r="C45" t="str">
        <v>2026-03-03</v>
      </c>
      <c r="D45" t="str">
        <v>Manual gsw+F</v>
      </c>
      <c r="E45" t="str">
        <v>LI-COR Default</v>
      </c>
      <c r="F45" t="str">
        <v/>
      </c>
      <c r="G45" t="str">
        <v>005</v>
      </c>
      <c r="H45" t="str">
        <v/>
      </c>
      <c r="I45" t="str">
        <v/>
      </c>
      <c r="J45" t="str">
        <f>1/((1/L45)-(1/K45))</f>
        <v>-0.058811</v>
      </c>
      <c r="K45" t="str">
        <f>BH45+(BI45*AN45)+(BJ45*AN45*POWER(V45,2))+(BK45*AN45*V45)+(BL45*POWER(AN45,2))</f>
        <v>2.569987</v>
      </c>
      <c r="L45" t="str">
        <f>((M45/1000)*(1000-((T45+S45)/2)))/(T45-S45)</f>
        <v>-0.060189</v>
      </c>
      <c r="M45" t="str">
        <f>(AN45*(S45-R45))/(100*U45*(1000-S45))*1000</f>
        <v>-2.076197</v>
      </c>
      <c r="N45" t="str">
        <v>1.017496</v>
      </c>
      <c r="O45" t="str">
        <v>1.092813</v>
      </c>
      <c r="P45" t="str">
        <f>0.61365*EXP((17.502*AL45)/(240.97+AL45))</f>
        <v>4.434926</v>
      </c>
      <c r="Q45" t="str">
        <f>P45-N45</f>
        <v>3.417429</v>
      </c>
      <c r="R45" t="str">
        <v>10.735188</v>
      </c>
      <c r="S45" t="str">
        <v>9.995320</v>
      </c>
      <c r="T45" t="str">
        <f>(P45/AM45)*1000</f>
        <v>43.566261</v>
      </c>
      <c r="U45" t="str">
        <f>V45*BG45</f>
        <v>0.441786</v>
      </c>
      <c r="V45" t="str">
        <v>7.500000</v>
      </c>
      <c r="W45" t="str">
        <v>PSF-00232_20260303152650_b80</v>
      </c>
      <c r="X45" t="str">
        <v>0.000000</v>
      </c>
      <c r="Y45" t="str">
        <v>0.000000</v>
      </c>
      <c r="Z45" t="str">
        <v>0.000000</v>
      </c>
      <c r="AA45" t="str">
        <v>86.280228</v>
      </c>
      <c r="AB45" t="str">
        <v>104.129562</v>
      </c>
      <c r="AC45" t="str">
        <v>0.171415</v>
      </c>
      <c r="AD45" t="str">
        <v>0.5</v>
      </c>
      <c r="AE45" t="str">
        <v>0.80</v>
      </c>
      <c r="AF45" t="str">
        <f>AC45*AD45*AE45*AQ45</f>
        <v>133.686264</v>
      </c>
      <c r="AG45" t="str">
        <v>1.000000</v>
      </c>
      <c r="AH45" t="str">
        <v>25.04</v>
      </c>
      <c r="AI45" t="str">
        <v>26.89</v>
      </c>
      <c r="AJ45" t="str">
        <v>29.18</v>
      </c>
      <c r="AK45" t="str">
        <v>30.70</v>
      </c>
      <c r="AL45" t="str">
        <f>(AK45-AJ45)*(AJ45*0+0)+AK45</f>
        <v>30.70</v>
      </c>
      <c r="AM45" t="str">
        <v>101.80</v>
      </c>
      <c r="AN45" t="str">
        <v>122.7</v>
      </c>
      <c r="AO45" t="str">
        <v>-9.0</v>
      </c>
      <c r="AP45" t="str">
        <v>107.3</v>
      </c>
      <c r="AQ45" t="str">
        <v>1950</v>
      </c>
      <c r="AR45" t="str">
        <v>3.692</v>
      </c>
      <c r="AS45" t="str">
        <v>15:26:26</v>
      </c>
      <c r="AT45" t="str">
        <v>2026-03-03</v>
      </c>
      <c r="AU45" t="str">
        <v>0.31</v>
      </c>
      <c r="AV45" t="str">
        <v>1</v>
      </c>
      <c r="AW45" t="str">
        <v>-0.001</v>
      </c>
      <c r="AX45" t="str">
        <v>-0.001</v>
      </c>
      <c r="AY45" t="str">
        <v>-0.001</v>
      </c>
      <c r="AZ45" t="str">
        <v>-0.068</v>
      </c>
      <c r="BA45" t="str">
        <v>-0.199</v>
      </c>
      <c r="BB45" t="str">
        <v>-0.559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mpf</v>
      </c>
      <c r="BP45" t="str">
        <v>7000</v>
      </c>
      <c r="BQ45" t="str">
        <v>500</v>
      </c>
      <c r="BR45" t="str">
        <v>-9999.000000</v>
      </c>
      <c r="BS45" t="str">
        <v>-9999.000000</v>
      </c>
      <c r="BT45" t="str">
        <v>300</v>
      </c>
      <c r="BU45" t="str">
        <v>300</v>
      </c>
      <c r="BV45" t="str">
        <v>300</v>
      </c>
      <c r="BW45" t="str">
        <v>101.698997</v>
      </c>
      <c r="BX45" t="str">
        <v>25</v>
      </c>
      <c r="BY45" t="str">
        <v>-1.637817</v>
      </c>
      <c r="BZ45" t="str">
        <v>102.151749</v>
      </c>
      <c r="CA45" t="str">
        <v>101.782722</v>
      </c>
      <c r="CB45" t="str">
        <v>0.369026</v>
      </c>
      <c r="CC45" t="str">
        <v>2.447663</v>
      </c>
      <c r="CD45" t="str">
        <v>2.452619</v>
      </c>
      <c r="CE45" t="str">
        <v>1.368344</v>
      </c>
      <c r="CF45" t="str">
        <v>0.586184</v>
      </c>
      <c r="CG45" t="str">
        <v>0.231015</v>
      </c>
      <c r="CH45" t="str">
        <v>0.018165</v>
      </c>
      <c r="CI45" t="str">
        <v>0.250982</v>
      </c>
      <c r="CJ45" t="str">
        <v>1.732519</v>
      </c>
      <c r="CK45" t="str">
        <v>86.280228</v>
      </c>
      <c r="CL45" t="str">
        <v>0.000613</v>
      </c>
      <c r="CM45" t="str">
        <v>2.400430</v>
      </c>
      <c r="CN45" t="str">
        <v>-0.000041</v>
      </c>
      <c r="CO45" t="str">
        <v>1.000000</v>
      </c>
      <c r="CP45" t="str">
        <v>2.408421</v>
      </c>
      <c r="CQ45" t="str">
        <v>-0.000039</v>
      </c>
      <c r="CR45" t="str">
        <v>1.000000</v>
      </c>
      <c r="CS45" t="str">
        <v>0.600250</v>
      </c>
      <c r="CT45" t="str">
        <v>0.601702</v>
      </c>
      <c r="CU45" t="str">
        <v>0.107071</v>
      </c>
      <c r="CV45" t="str">
        <v>0.000000</v>
      </c>
      <c r="CW45" t="str">
        <v>PSF-00232_20260303152650_b80</v>
      </c>
      <c r="CX45" t="str">
        <v>PFA-00245</v>
      </c>
      <c r="CY45" t="str">
        <v>PSA-00257</v>
      </c>
      <c r="CZ45" t="str">
        <v>PSF-00232</v>
      </c>
      <c r="DA45" t="str">
        <v>RHS-00222</v>
      </c>
      <c r="DB45" t="str">
        <v>3.0.0</v>
      </c>
      <c r="DC45" t="str">
        <v>2021-01-19T12:57:14.097Z</v>
      </c>
    </row>
    <row r="46">
      <c r="A46" t="str">
        <v>6</v>
      </c>
      <c r="B46" t="str">
        <v>15:28:44</v>
      </c>
      <c r="C46" t="str">
        <v>2026-03-03</v>
      </c>
      <c r="D46" t="str">
        <v>Manual gsw+F</v>
      </c>
      <c r="E46" t="str">
        <v>LI-COR Default</v>
      </c>
      <c r="F46" t="str">
        <v/>
      </c>
      <c r="G46" t="str">
        <v>006</v>
      </c>
      <c r="H46" t="str">
        <v/>
      </c>
      <c r="I46" t="str">
        <v/>
      </c>
      <c r="J46" t="str">
        <f>1/((1/L46)-(1/K46))</f>
        <v>-0.043349</v>
      </c>
      <c r="K46" t="str">
        <f>BH46+(BI46*AN46)+(BJ46*AN46*POWER(V46,2))+(BK46*AN46*V46)+(BL46*POWER(AN46,2))</f>
        <v>2.529696</v>
      </c>
      <c r="L46" t="str">
        <f>((M46/1000)*(1000-((T46+S46)/2)))/(T46-S46)</f>
        <v>-0.044105</v>
      </c>
      <c r="M46" t="str">
        <f>(AN46*(S46-R46))/(100*U46*(1000-S46))*1000</f>
        <v>-1.550051</v>
      </c>
      <c r="N46" t="str">
        <v>1.079438</v>
      </c>
      <c r="O46" t="str">
        <v>1.137105</v>
      </c>
      <c r="P46" t="str">
        <f>0.61365*EXP((17.502*AL46)/(240.97+AL46))</f>
        <v>4.557999</v>
      </c>
      <c r="Q46" t="str">
        <f>P46-N46</f>
        <v>3.478560</v>
      </c>
      <c r="R46" t="str">
        <v>11.170405</v>
      </c>
      <c r="S46" t="str">
        <v>10.603912</v>
      </c>
      <c r="T46" t="str">
        <f>(P46/AM46)*1000</f>
        <v>44.775703</v>
      </c>
      <c r="U46" t="str">
        <f>V46*BG46</f>
        <v>0.441786</v>
      </c>
      <c r="V46" t="str">
        <v>7.500000</v>
      </c>
      <c r="W46" t="str">
        <v>PSF-00232_20260303152844_544</v>
      </c>
      <c r="X46" t="str">
        <v>0.000000</v>
      </c>
      <c r="Y46" t="str">
        <v>0.000000</v>
      </c>
      <c r="Z46" t="str">
        <v>0.000000</v>
      </c>
      <c r="AA46" t="str">
        <v>76.794144</v>
      </c>
      <c r="AB46" t="str">
        <v>101.247025</v>
      </c>
      <c r="AC46" t="str">
        <v>0.241517</v>
      </c>
      <c r="AD46" t="str">
        <v>0.5</v>
      </c>
      <c r="AE46" t="str">
        <v>0.80</v>
      </c>
      <c r="AF46" t="str">
        <f>AC46*AD46*AE46*AQ46</f>
        <v>177.615646</v>
      </c>
      <c r="AG46" t="str">
        <v>1.000000</v>
      </c>
      <c r="AH46" t="str">
        <v>26.13</v>
      </c>
      <c r="AI46" t="str">
        <v>27.53</v>
      </c>
      <c r="AJ46" t="str">
        <v>29.46</v>
      </c>
      <c r="AK46" t="str">
        <v>31.18</v>
      </c>
      <c r="AL46" t="str">
        <f>(AK46-AJ46)*(AJ46*0+0)+AK46</f>
        <v>31.18</v>
      </c>
      <c r="AM46" t="str">
        <v>101.80</v>
      </c>
      <c r="AN46" t="str">
        <v>119.6</v>
      </c>
      <c r="AO46" t="str">
        <v>-9.4</v>
      </c>
      <c r="AP46" t="str">
        <v>107.9</v>
      </c>
      <c r="AQ46" t="str">
        <v>1839</v>
      </c>
      <c r="AR46" t="str">
        <v>3.689</v>
      </c>
      <c r="AS46" t="str">
        <v>15:26:26</v>
      </c>
      <c r="AT46" t="str">
        <v>2026-03-03</v>
      </c>
      <c r="AU46" t="str">
        <v>0.31</v>
      </c>
      <c r="AV46" t="str">
        <v>1</v>
      </c>
      <c r="AW46" t="str">
        <v>0.004</v>
      </c>
      <c r="AX46" t="str">
        <v>0.010</v>
      </c>
      <c r="AY46" t="str">
        <v>0.013</v>
      </c>
      <c r="AZ46" t="str">
        <v>-0.100</v>
      </c>
      <c r="BA46" t="str">
        <v>-0.040</v>
      </c>
      <c r="BB46" t="str">
        <v>-0.550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mpf</v>
      </c>
      <c r="BP46" t="str">
        <v>7000</v>
      </c>
      <c r="BQ46" t="str">
        <v>500</v>
      </c>
      <c r="BR46" t="str">
        <v>-9999.000000</v>
      </c>
      <c r="BS46" t="str">
        <v>-9999.000000</v>
      </c>
      <c r="BT46" t="str">
        <v>300</v>
      </c>
      <c r="BU46" t="str">
        <v>300</v>
      </c>
      <c r="BV46" t="str">
        <v>300</v>
      </c>
      <c r="BW46" t="str">
        <v>95.002052</v>
      </c>
      <c r="BX46" t="str">
        <v>25</v>
      </c>
      <c r="BY46" t="str">
        <v>-4.405600</v>
      </c>
      <c r="BZ46" t="str">
        <v>93.804718</v>
      </c>
      <c r="CA46" t="str">
        <v>94.934204</v>
      </c>
      <c r="CB46" t="str">
        <v>-1.129486</v>
      </c>
      <c r="CC46" t="str">
        <v>2.448606</v>
      </c>
      <c r="CD46" t="str">
        <v>2.454311</v>
      </c>
      <c r="CE46" t="str">
        <v>1.344268</v>
      </c>
      <c r="CF46" t="str">
        <v>0.585370</v>
      </c>
      <c r="CG46" t="str">
        <v>0.228439</v>
      </c>
      <c r="CH46" t="str">
        <v>0.020610</v>
      </c>
      <c r="CI46" t="str">
        <v>0.259242</v>
      </c>
      <c r="CJ46" t="str">
        <v>1.639809</v>
      </c>
      <c r="CK46" t="str">
        <v>76.794144</v>
      </c>
      <c r="CL46" t="str">
        <v>0.000616</v>
      </c>
      <c r="CM46" t="str">
        <v>2.400430</v>
      </c>
      <c r="CN46" t="str">
        <v>-0.000041</v>
      </c>
      <c r="CO46" t="str">
        <v>1.000000</v>
      </c>
      <c r="CP46" t="str">
        <v>2.408421</v>
      </c>
      <c r="CQ46" t="str">
        <v>-0.000039</v>
      </c>
      <c r="CR46" t="str">
        <v>1.000000</v>
      </c>
      <c r="CS46" t="str">
        <v>0.600250</v>
      </c>
      <c r="CT46" t="str">
        <v>0.601702</v>
      </c>
      <c r="CU46" t="str">
        <v>0.107071</v>
      </c>
      <c r="CV46" t="str">
        <v>0.000000</v>
      </c>
      <c r="CW46" t="str">
        <v>PSF-00232_20260303152844_544</v>
      </c>
      <c r="CX46" t="str">
        <v>PFA-00245</v>
      </c>
      <c r="CY46" t="str">
        <v>PSA-00257</v>
      </c>
      <c r="CZ46" t="str">
        <v>PSF-00232</v>
      </c>
      <c r="DA46" t="str">
        <v>RHS-00222</v>
      </c>
      <c r="DB46" t="str">
        <v>3.0.0</v>
      </c>
      <c r="DC46" t="str">
        <v>2021-01-19T12:57:14.097Z</v>
      </c>
    </row>
    <row r="47">
      <c r="A47" t="str">
        <v>7</v>
      </c>
      <c r="B47" t="str">
        <v>15:30:20</v>
      </c>
      <c r="C47" t="str">
        <v>2026-03-03</v>
      </c>
      <c r="D47" t="str">
        <v>Manual gsw+F</v>
      </c>
      <c r="E47" t="str">
        <v>LI-COR Default</v>
      </c>
      <c r="F47" t="str">
        <v/>
      </c>
      <c r="G47" t="str">
        <v>007</v>
      </c>
      <c r="H47" t="str">
        <v/>
      </c>
      <c r="I47" t="str">
        <v/>
      </c>
      <c r="J47" t="str">
        <f>1/((1/L47)-(1/K47))</f>
        <v>0.001749</v>
      </c>
      <c r="K47" t="str">
        <f>BH47+(BI47*AN47)+(BJ47*AN47*POWER(V47,2))+(BK47*AN47*V47)+(BL47*POWER(AN47,2))</f>
        <v>2.543059</v>
      </c>
      <c r="L47" t="str">
        <f>((M47/1000)*(1000-((T47+S47)/2)))/(T47-S47)</f>
        <v>0.001747</v>
      </c>
      <c r="M47" t="str">
        <f>(AN47*(S47-R47))/(100*U47*(1000-S47))*1000</f>
        <v>0.062308</v>
      </c>
      <c r="N47" t="str">
        <v>1.181222</v>
      </c>
      <c r="O47" t="str">
        <v>1.178926</v>
      </c>
      <c r="P47" t="str">
        <f>0.61365*EXP((17.502*AL47)/(240.97+AL47))</f>
        <v>4.706244</v>
      </c>
      <c r="Q47" t="str">
        <f>P47-N47</f>
        <v>3.525022</v>
      </c>
      <c r="R47" t="str">
        <v>11.580467</v>
      </c>
      <c r="S47" t="str">
        <v>11.603022</v>
      </c>
      <c r="T47" t="str">
        <f>(P47/AM47)*1000</f>
        <v>46.228931</v>
      </c>
      <c r="U47" t="str">
        <f>V47*BG47</f>
        <v>0.441786</v>
      </c>
      <c r="V47" t="str">
        <v>7.500000</v>
      </c>
      <c r="W47" t="str">
        <v>PSF-00232_20260303153020_1b7</v>
      </c>
      <c r="X47" t="str">
        <v>0.000000</v>
      </c>
      <c r="Y47" t="str">
        <v>0.000000</v>
      </c>
      <c r="Z47" t="str">
        <v>0.000000</v>
      </c>
      <c r="AA47" t="str">
        <v>126.330612</v>
      </c>
      <c r="AB47" t="str">
        <v>155.444778</v>
      </c>
      <c r="AC47" t="str">
        <v>0.187296</v>
      </c>
      <c r="AD47" t="str">
        <v>0.5</v>
      </c>
      <c r="AE47" t="str">
        <v>0.80</v>
      </c>
      <c r="AF47" t="str">
        <f>AC47*AD47*AE47*AQ47</f>
        <v>138.147675</v>
      </c>
      <c r="AG47" t="str">
        <v>1.000000</v>
      </c>
      <c r="AH47" t="str">
        <v>28.19</v>
      </c>
      <c r="AI47" t="str">
        <v>28.14</v>
      </c>
      <c r="AJ47" t="str">
        <v>29.71</v>
      </c>
      <c r="AK47" t="str">
        <v>31.74</v>
      </c>
      <c r="AL47" t="str">
        <f>(AK47-AJ47)*(AJ47*0+0)+AK47</f>
        <v>31.74</v>
      </c>
      <c r="AM47" t="str">
        <v>101.80</v>
      </c>
      <c r="AN47" t="str">
        <v>120.6</v>
      </c>
      <c r="AO47" t="str">
        <v>5.4</v>
      </c>
      <c r="AP47" t="str">
        <v>95.5</v>
      </c>
      <c r="AQ47" t="str">
        <v>1844</v>
      </c>
      <c r="AR47" t="str">
        <v>3.687</v>
      </c>
      <c r="AS47" t="str">
        <v>15:26:26</v>
      </c>
      <c r="AT47" t="str">
        <v>2026-03-03</v>
      </c>
      <c r="AU47" t="str">
        <v>0.31</v>
      </c>
      <c r="AV47" t="str">
        <v>1</v>
      </c>
      <c r="AW47" t="str">
        <v>0.004</v>
      </c>
      <c r="AX47" t="str">
        <v>0.008</v>
      </c>
      <c r="AY47" t="str">
        <v>0.014</v>
      </c>
      <c r="AZ47" t="str">
        <v>-0.384</v>
      </c>
      <c r="BA47" t="str">
        <v>-0.935</v>
      </c>
      <c r="BB47" t="str">
        <v>-2.294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mpf</v>
      </c>
      <c r="BP47" t="str">
        <v>7000</v>
      </c>
      <c r="BQ47" t="str">
        <v>500</v>
      </c>
      <c r="BR47" t="str">
        <v>-9999.000000</v>
      </c>
      <c r="BS47" t="str">
        <v>-9999.000000</v>
      </c>
      <c r="BT47" t="str">
        <v>300</v>
      </c>
      <c r="BU47" t="str">
        <v>300</v>
      </c>
      <c r="BV47" t="str">
        <v>300</v>
      </c>
      <c r="BW47" t="str">
        <v>150.830627</v>
      </c>
      <c r="BX47" t="str">
        <v>25</v>
      </c>
      <c r="BY47" t="str">
        <v>-3.155926</v>
      </c>
      <c r="BZ47" t="str">
        <v>150.817749</v>
      </c>
      <c r="CA47" t="str">
        <v>150.922623</v>
      </c>
      <c r="CB47" t="str">
        <v>-0.104874</v>
      </c>
      <c r="CC47" t="str">
        <v>2.449513</v>
      </c>
      <c r="CD47" t="str">
        <v>2.457505</v>
      </c>
      <c r="CE47" t="str">
        <v>1.352142</v>
      </c>
      <c r="CF47" t="str">
        <v>0.611276</v>
      </c>
      <c r="CG47" t="str">
        <v>0.226232</v>
      </c>
      <c r="CH47" t="str">
        <v>0.024574</v>
      </c>
      <c r="CI47" t="str">
        <v>0.266369</v>
      </c>
      <c r="CJ47" t="str">
        <v>1.644339</v>
      </c>
      <c r="CK47" t="str">
        <v>126.330612</v>
      </c>
      <c r="CL47" t="str">
        <v>0.000605</v>
      </c>
      <c r="CM47" t="str">
        <v>2.400430</v>
      </c>
      <c r="CN47" t="str">
        <v>-0.000041</v>
      </c>
      <c r="CO47" t="str">
        <v>1.000000</v>
      </c>
      <c r="CP47" t="str">
        <v>2.408421</v>
      </c>
      <c r="CQ47" t="str">
        <v>-0.000039</v>
      </c>
      <c r="CR47" t="str">
        <v>1.000000</v>
      </c>
      <c r="CS47" t="str">
        <v>0.600250</v>
      </c>
      <c r="CT47" t="str">
        <v>0.601702</v>
      </c>
      <c r="CU47" t="str">
        <v>0.107071</v>
      </c>
      <c r="CV47" t="str">
        <v>0.000000</v>
      </c>
      <c r="CW47" t="str">
        <v>PSF-00232_20260303153020_1b7</v>
      </c>
      <c r="CX47" t="str">
        <v>PFA-00245</v>
      </c>
      <c r="CY47" t="str">
        <v>PSA-00257</v>
      </c>
      <c r="CZ47" t="str">
        <v>PSF-00232</v>
      </c>
      <c r="DA47" t="str">
        <v>RHS-00222</v>
      </c>
      <c r="DB47" t="str">
        <v>3.0.0</v>
      </c>
      <c r="DC47" t="str">
        <v>2021-01-19T12:57:14.097Z</v>
      </c>
    </row>
    <row r="48">
      <c r="A48" t="str">
        <v>8</v>
      </c>
      <c r="B48" t="str">
        <v>15:31:51</v>
      </c>
      <c r="C48" t="str">
        <v>2026-03-03</v>
      </c>
      <c r="D48" t="str">
        <v>Manual gsw+F</v>
      </c>
      <c r="E48" t="str">
        <v>LI-COR Default</v>
      </c>
      <c r="F48" t="str">
        <v/>
      </c>
      <c r="G48" t="str">
        <v>008</v>
      </c>
      <c r="H48" t="str">
        <v/>
      </c>
      <c r="I48" t="str">
        <v/>
      </c>
      <c r="J48" t="str">
        <f>1/((1/L48)-(1/K48))</f>
        <v>-0.043458</v>
      </c>
      <c r="K48" t="str">
        <f>BH48+(BI48*AN48)+(BJ48*AN48*POWER(V48,2))+(BK48*AN48*V48)+(BL48*POWER(AN48,2))</f>
        <v>2.526154</v>
      </c>
      <c r="L48" t="str">
        <f>((M48/1000)*(1000-((T48+S48)/2)))/(T48-S48)</f>
        <v>-0.044218</v>
      </c>
      <c r="M48" t="str">
        <f>(AN48*(S48-R48))/(100*U48*(1000-S48))*1000</f>
        <v>-1.610382</v>
      </c>
      <c r="N48" t="str">
        <v>1.079622</v>
      </c>
      <c r="O48" t="str">
        <v>1.139673</v>
      </c>
      <c r="P48" t="str">
        <f>0.61365*EXP((17.502*AL48)/(240.97+AL48))</f>
        <v>4.682285</v>
      </c>
      <c r="Q48" t="str">
        <f>P48-N48</f>
        <v>3.602663</v>
      </c>
      <c r="R48" t="str">
        <v>11.194805</v>
      </c>
      <c r="S48" t="str">
        <v>10.604929</v>
      </c>
      <c r="T48" t="str">
        <f>(P48/AM48)*1000</f>
        <v>45.993248</v>
      </c>
      <c r="U48" t="str">
        <f>V48*BG48</f>
        <v>0.441786</v>
      </c>
      <c r="V48" t="str">
        <v>7.500000</v>
      </c>
      <c r="W48" t="str">
        <v>PSF-00232_20260303153151_1c3</v>
      </c>
      <c r="X48" t="str">
        <v>0.000000</v>
      </c>
      <c r="Y48" t="str">
        <v>0.000000</v>
      </c>
      <c r="Z48" t="str">
        <v>0.000000</v>
      </c>
      <c r="AA48" t="str">
        <v>75.760246</v>
      </c>
      <c r="AB48" t="str">
        <v>94.826622</v>
      </c>
      <c r="AC48" t="str">
        <v>0.201066</v>
      </c>
      <c r="AD48" t="str">
        <v>0.5</v>
      </c>
      <c r="AE48" t="str">
        <v>0.80</v>
      </c>
      <c r="AF48" t="str">
        <f>AC48*AD48*AE48*AQ48</f>
        <v>156.291718</v>
      </c>
      <c r="AG48" t="str">
        <v>1.000000</v>
      </c>
      <c r="AH48" t="str">
        <v>25.37</v>
      </c>
      <c r="AI48" t="str">
        <v>26.78</v>
      </c>
      <c r="AJ48" t="str">
        <v>29.98</v>
      </c>
      <c r="AK48" t="str">
        <v>31.65</v>
      </c>
      <c r="AL48" t="str">
        <f>(AK48-AJ48)*(AJ48*0+0)+AK48</f>
        <v>31.65</v>
      </c>
      <c r="AM48" t="str">
        <v>101.80</v>
      </c>
      <c r="AN48" t="str">
        <v>119.3</v>
      </c>
      <c r="AO48" t="str">
        <v>-11.6</v>
      </c>
      <c r="AP48" t="str">
        <v>109.7</v>
      </c>
      <c r="AQ48" t="str">
        <v>1943</v>
      </c>
      <c r="AR48" t="str">
        <v>3.685</v>
      </c>
      <c r="AS48" t="str">
        <v>15:26:26</v>
      </c>
      <c r="AT48" t="str">
        <v>2026-03-03</v>
      </c>
      <c r="AU48" t="str">
        <v>0.31</v>
      </c>
      <c r="AV48" t="str">
        <v>1</v>
      </c>
      <c r="AW48" t="str">
        <v>-0.003</v>
      </c>
      <c r="AX48" t="str">
        <v>-0.005</v>
      </c>
      <c r="AY48" t="str">
        <v>-0.002</v>
      </c>
      <c r="AZ48" t="str">
        <v>-0.368</v>
      </c>
      <c r="BA48" t="str">
        <v>-1.425</v>
      </c>
      <c r="BB48" t="str">
        <v>-4.700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mpf</v>
      </c>
      <c r="BP48" t="str">
        <v>7000</v>
      </c>
      <c r="BQ48" t="str">
        <v>500</v>
      </c>
      <c r="BR48" t="str">
        <v>-9999.000000</v>
      </c>
      <c r="BS48" t="str">
        <v>-9999.000000</v>
      </c>
      <c r="BT48" t="str">
        <v>300</v>
      </c>
      <c r="BU48" t="str">
        <v>300</v>
      </c>
      <c r="BV48" t="str">
        <v>300</v>
      </c>
      <c r="BW48" t="str">
        <v>89.954140</v>
      </c>
      <c r="BX48" t="str">
        <v>25</v>
      </c>
      <c r="BY48" t="str">
        <v>-3.392620</v>
      </c>
      <c r="BZ48" t="str">
        <v>89.242813</v>
      </c>
      <c r="CA48" t="str">
        <v>89.965309</v>
      </c>
      <c r="CB48" t="str">
        <v>-0.722496</v>
      </c>
      <c r="CC48" t="str">
        <v>2.447372</v>
      </c>
      <c r="CD48" t="str">
        <v>2.453036</v>
      </c>
      <c r="CE48" t="str">
        <v>1.342200</v>
      </c>
      <c r="CF48" t="str">
        <v>0.581663</v>
      </c>
      <c r="CG48" t="str">
        <v>0.223844</v>
      </c>
      <c r="CH48" t="str">
        <v>0.020165</v>
      </c>
      <c r="CI48" t="str">
        <v>0.272811</v>
      </c>
      <c r="CJ48" t="str">
        <v>1.727136</v>
      </c>
      <c r="CK48" t="str">
        <v>75.760246</v>
      </c>
      <c r="CL48" t="str">
        <v>0.000631</v>
      </c>
      <c r="CM48" t="str">
        <v>2.400430</v>
      </c>
      <c r="CN48" t="str">
        <v>-0.000041</v>
      </c>
      <c r="CO48" t="str">
        <v>1.000000</v>
      </c>
      <c r="CP48" t="str">
        <v>2.408421</v>
      </c>
      <c r="CQ48" t="str">
        <v>-0.000039</v>
      </c>
      <c r="CR48" t="str">
        <v>1.000000</v>
      </c>
      <c r="CS48" t="str">
        <v>0.600250</v>
      </c>
      <c r="CT48" t="str">
        <v>0.601702</v>
      </c>
      <c r="CU48" t="str">
        <v>0.107071</v>
      </c>
      <c r="CV48" t="str">
        <v>0.000000</v>
      </c>
      <c r="CW48" t="str">
        <v>PSF-00232_20260303153151_1c3</v>
      </c>
      <c r="CX48" t="str">
        <v>PFA-00245</v>
      </c>
      <c r="CY48" t="str">
        <v>PSA-00257</v>
      </c>
      <c r="CZ48" t="str">
        <v>PSF-00232</v>
      </c>
      <c r="DA48" t="str">
        <v>RHS-00222</v>
      </c>
      <c r="DB48" t="str">
        <v>3.0.0</v>
      </c>
      <c r="DC48" t="str">
        <v>2021-01-19T12:57:14.097Z</v>
      </c>
    </row>
  </sheetData>
  <ignoredErrors>
    <ignoredError numberStoredAsText="1" sqref="A1:D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gsw+F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